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8_{00C7E933-0998-4D40-A438-29DD0473ED2C}" xr6:coauthVersionLast="47" xr6:coauthVersionMax="47" xr10:uidLastSave="{00000000-0000-0000-0000-000000000000}"/>
  <bookViews>
    <workbookView xWindow="-110" yWindow="-110" windowWidth="19420" windowHeight="10300" firstSheet="1" activeTab="1" xr2:uid="{9BFCF7D0-F0DC-4E45-ABDA-48C6C71B06C6}"/>
  </bookViews>
  <sheets>
    <sheet name="Total_CO2_Pivot" sheetId="8" r:id="rId1"/>
    <sheet name="Dashboard" sheetId="12" r:id="rId2"/>
    <sheet name="Per_Capita_Pivot" sheetId="9" r:id="rId3"/>
    <sheet name="Global_Share_Pivot" sheetId="10" r:id="rId4"/>
    <sheet name="Growth_%_Pivot" sheetId="11" r:id="rId5"/>
    <sheet name="Sheet1" sheetId="3" r:id="rId6"/>
  </sheets>
  <definedNames>
    <definedName name="Slicer_country">#N/A</definedName>
    <definedName name="Slicer_year">#N/A</definedName>
  </definedNames>
  <calcPr calcId="191029"/>
  <pivotCaches>
    <pivotCache cacheId="1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10" l="1" a="1"/>
  <c r="B17"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FC1CCC-331F-4E5B-8355-98280A203332}" keepAlive="1" name="Query - owid_co2_emissions" description="Connection to the 'owid_co2_emissions' query in the workbook." type="5" refreshedVersion="8" background="1" saveData="1">
    <dbPr connection="Provider=Microsoft.Mashup.OleDb.1;Data Source=$Workbook$;Location=owid_co2_emissions;Extended Properties=&quot;&quot;" command="SELECT * FROM [owid_co2_emission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<sst xmlns="http://schemas.openxmlformats.org/spreadsheetml/2006/main" count="156" uniqueCount="23">
  <si>
    <t>country</t>
  </si>
  <si>
    <t>year</t>
  </si>
  <si>
    <t>co2</t>
  </si>
  <si>
    <t>co2_growth_prct</t>
  </si>
  <si>
    <t>co2_per_capita</t>
  </si>
  <si>
    <t>share_global_co2</t>
  </si>
  <si>
    <t>Brazil</t>
  </si>
  <si>
    <t>Canada</t>
  </si>
  <si>
    <t>China</t>
  </si>
  <si>
    <t>Germany</t>
  </si>
  <si>
    <t>India</t>
  </si>
  <si>
    <t>Indonesia</t>
  </si>
  <si>
    <t>Japan</t>
  </si>
  <si>
    <t>Russia</t>
  </si>
  <si>
    <t>United Kingdom</t>
  </si>
  <si>
    <t>United States</t>
  </si>
  <si>
    <t>Column Labels</t>
  </si>
  <si>
    <t>Grand Total</t>
  </si>
  <si>
    <t>Row Labels</t>
  </si>
  <si>
    <t>Sum of co2</t>
  </si>
  <si>
    <t>Average of co2_per_capita</t>
  </si>
  <si>
    <t>Sum of share_global_co2</t>
  </si>
  <si>
    <t>Sum of co2_growth_prct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</si>
</sst>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xf numFmtId="0" fontId="2" fillId="3" borderId="1" xfId="0" applyFont="1" applyFill="1" applyBorder="1"/>
    <xf numFmtId="0" fontId="2" fillId="3" borderId="2" xfId="0" applyFont="1" applyFill="1" applyBorder="1"/>
    <xf numFmtId="0" fontId="0" fillId="0" borderId="0" xfId="0" pivotButton="1"/>
    <xf numFmtId="0" fontId="0" fillId="0" borderId="0" xfId="0" applyAlignment="1">
      <alignment horizontal="left"/>
    </xf>
    <xf numFmtId="2" fontId="2" fillId="3" borderId="2" xfId="0" applyNumberFormat="1" applyFont="1" applyFill="1" applyBorder="1"/>
    <xf numFmtId="2" fontId="0" fillId="2" borderId="2" xfId="0" applyNumberFormat="1" applyFont="1" applyFill="1" applyBorder="1"/>
    <xf numFmtId="2" fontId="0" fillId="0" borderId="2" xfId="0" applyNumberFormat="1" applyFont="1" applyBorder="1"/>
    <xf numFmtId="2" fontId="0" fillId="0" borderId="0" xfId="0" applyNumberFormat="1"/>
    <xf numFmtId="2" fontId="2" fillId="3" borderId="3" xfId="0" applyNumberFormat="1" applyFont="1" applyFill="1" applyBorder="1"/>
    <xf numFmtId="2" fontId="0" fillId="2" borderId="3" xfId="0" applyNumberFormat="1" applyFont="1" applyFill="1" applyBorder="1"/>
    <xf numFmtId="2" fontId="0" fillId="0" borderId="3" xfId="0" applyNumberFormat="1" applyFont="1" applyBorder="1"/>
    <xf numFmtId="9" fontId="0" fillId="0" borderId="0" xfId="1" applyFont="1"/>
    <xf numFmtId="2" fontId="0" fillId="0" borderId="0" xfId="0" pivotButton="1" applyNumberFormat="1"/>
    <xf numFmtId="2" fontId="0" fillId="0" borderId="0" xfId="0" applyNumberFormat="1" applyAlignment="1">
      <alignment horizontal="left"/>
    </xf>
  </cellXfs>
  <cellStyles count="2">
    <cellStyle name="Normal" xfId="0" builtinId="0"/>
    <cellStyle name="Percent" xfId="1" builtinId="5"/>
  </cellStyles>
  <dxfs count="24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[Raw_Data.xlsx]Total_CO2_Pivot!PivotTable5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r>
              <a:rPr lang="en-US" sz="1200">
                <a:effectLst/>
              </a:rPr>
              <a:t>Total CO2 </a:t>
            </a:r>
            <a:r>
              <a:rPr lang="en-US" sz="1200" b="0">
                <a:effectLst/>
              </a:rPr>
              <a:t>Emissions</a:t>
            </a:r>
            <a:r>
              <a:rPr lang="en-US" sz="1200">
                <a:effectLst/>
              </a:rPr>
              <a:t> (kt, 2015–2023)</a:t>
            </a: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alpha val="70000"/>
            </a:schemeClr>
          </a:solidFill>
          <a:ln>
            <a:noFill/>
          </a:ln>
          <a:effectLst/>
        </c:spPr>
        <c:marker>
          <c:symbol val="circle"/>
          <c:size val="6"/>
          <c:spPr>
            <a:gradFill>
              <a:gsLst>
                <a:gs pos="0">
                  <a:schemeClr val="accent4">
                    <a:shade val="42000"/>
                  </a:schemeClr>
                </a:gs>
                <a:gs pos="46000">
                  <a:schemeClr val="accent4">
                    <a:shade val="42000"/>
                  </a:schemeClr>
                </a:gs>
                <a:gs pos="100000">
                  <a:schemeClr val="accent4">
                    <a:shade val="42000"/>
                    <a:lumMod val="20000"/>
                    <a:lumOff val="80000"/>
                    <a:alpha val="0"/>
                  </a:schemeClr>
                </a:gs>
              </a:gsLst>
              <a:path path="circle">
                <a:fillToRect l="50000" t="-80000" r="50000" b="180000"/>
              </a:path>
            </a:gradFill>
            <a:ln w="9525" cap="flat" cmpd="sng" algn="ctr">
              <a:solidFill>
                <a:schemeClr val="accent4">
                  <a:shade val="42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alpha val="70000"/>
            </a:schemeClr>
          </a:solidFill>
          <a:ln>
            <a:noFill/>
          </a:ln>
          <a:effectLst/>
        </c:spPr>
        <c:marker>
          <c:symbol val="circle"/>
          <c:size val="6"/>
          <c:spPr>
            <a:gradFill>
              <a:gsLst>
                <a:gs pos="0">
                  <a:schemeClr val="accent4">
                    <a:shade val="55000"/>
                  </a:schemeClr>
                </a:gs>
                <a:gs pos="46000">
                  <a:schemeClr val="accent4">
                    <a:shade val="55000"/>
                  </a:schemeClr>
                </a:gs>
                <a:gs pos="100000">
                  <a:schemeClr val="accent4">
                    <a:shade val="55000"/>
                    <a:lumMod val="20000"/>
                    <a:lumOff val="80000"/>
                    <a:alpha val="0"/>
                  </a:schemeClr>
                </a:gs>
              </a:gsLst>
              <a:path path="circle">
                <a:fillToRect l="50000" t="-80000" r="50000" b="180000"/>
              </a:path>
            </a:gradFill>
            <a:ln w="9525" cap="flat" cmpd="sng" algn="ctr">
              <a:solidFill>
                <a:schemeClr val="accent4">
                  <a:shade val="5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alpha val="70000"/>
            </a:schemeClr>
          </a:solidFill>
          <a:ln>
            <a:noFill/>
          </a:ln>
          <a:effectLst/>
        </c:spPr>
        <c:marker>
          <c:symbol val="circle"/>
          <c:size val="6"/>
          <c:spPr>
            <a:gradFill>
              <a:gsLst>
                <a:gs pos="0">
                  <a:schemeClr val="accent4">
                    <a:shade val="68000"/>
                  </a:schemeClr>
                </a:gs>
                <a:gs pos="46000">
                  <a:schemeClr val="accent4">
                    <a:shade val="68000"/>
                  </a:schemeClr>
                </a:gs>
                <a:gs pos="100000">
                  <a:schemeClr val="accent4">
                    <a:shade val="68000"/>
                    <a:lumMod val="20000"/>
                    <a:lumOff val="80000"/>
                    <a:alpha val="0"/>
                  </a:schemeClr>
                </a:gs>
              </a:gsLst>
              <a:path path="circle">
                <a:fillToRect l="50000" t="-80000" r="50000" b="180000"/>
              </a:path>
            </a:gradFill>
            <a:ln w="9525" cap="flat" cmpd="sng" algn="ctr">
              <a:solidFill>
                <a:schemeClr val="accent4">
                  <a:shade val="68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alpha val="70000"/>
            </a:schemeClr>
          </a:solidFill>
          <a:ln>
            <a:noFill/>
          </a:ln>
          <a:effectLst/>
        </c:spPr>
        <c:marker>
          <c:symbol val="circle"/>
          <c:size val="6"/>
          <c:spPr>
            <a:gradFill>
              <a:gsLst>
                <a:gs pos="0">
                  <a:schemeClr val="accent4">
                    <a:shade val="80000"/>
                  </a:schemeClr>
                </a:gs>
                <a:gs pos="46000">
                  <a:schemeClr val="accent4">
                    <a:shade val="80000"/>
                  </a:schemeClr>
                </a:gs>
                <a:gs pos="100000">
                  <a:schemeClr val="accent4">
                    <a:shade val="80000"/>
                    <a:lumMod val="20000"/>
                    <a:lumOff val="80000"/>
                    <a:alpha val="0"/>
                  </a:schemeClr>
                </a:gs>
              </a:gsLst>
              <a:path path="circle">
                <a:fillToRect l="50000" t="-80000" r="50000" b="180000"/>
              </a:path>
            </a:gradFill>
            <a:ln w="9525" cap="flat" cmpd="sng" algn="ctr">
              <a:solidFill>
                <a:schemeClr val="accent4">
                  <a:shade val="8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alpha val="70000"/>
            </a:schemeClr>
          </a:solidFill>
          <a:ln>
            <a:noFill/>
          </a:ln>
          <a:effectLst/>
        </c:spPr>
        <c:marker>
          <c:symbol val="circle"/>
          <c:size val="6"/>
          <c:spPr>
            <a:gradFill>
              <a:gsLst>
                <a:gs pos="0">
                  <a:schemeClr val="accent4">
                    <a:shade val="93000"/>
                  </a:schemeClr>
                </a:gs>
                <a:gs pos="46000">
                  <a:schemeClr val="accent4">
                    <a:shade val="93000"/>
                  </a:schemeClr>
                </a:gs>
                <a:gs pos="100000">
                  <a:schemeClr val="accent4">
                    <a:shade val="93000"/>
                    <a:lumMod val="20000"/>
                    <a:lumOff val="80000"/>
                    <a:alpha val="0"/>
                  </a:schemeClr>
                </a:gs>
              </a:gsLst>
              <a:path path="circle">
                <a:fillToRect l="50000" t="-80000" r="50000" b="180000"/>
              </a:path>
            </a:gradFill>
            <a:ln w="9525" cap="flat" cmpd="sng" algn="ctr">
              <a:solidFill>
                <a:schemeClr val="accent4">
                  <a:shade val="93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alpha val="70000"/>
            </a:schemeClr>
          </a:solidFill>
          <a:ln>
            <a:noFill/>
          </a:ln>
          <a:effectLst/>
        </c:spPr>
        <c:marker>
          <c:symbol val="circle"/>
          <c:size val="6"/>
          <c:spPr>
            <a:gradFill>
              <a:gsLst>
                <a:gs pos="0">
                  <a:schemeClr val="accent4">
                    <a:tint val="94000"/>
                  </a:schemeClr>
                </a:gs>
                <a:gs pos="46000">
                  <a:schemeClr val="accent4">
                    <a:tint val="94000"/>
                  </a:schemeClr>
                </a:gs>
                <a:gs pos="100000">
                  <a:schemeClr val="accent4">
                    <a:tint val="94000"/>
                    <a:lumMod val="20000"/>
                    <a:lumOff val="80000"/>
                    <a:alpha val="0"/>
                  </a:schemeClr>
                </a:gs>
              </a:gsLst>
              <a:path path="circle">
                <a:fillToRect l="50000" t="-80000" r="50000" b="180000"/>
              </a:path>
            </a:gradFill>
            <a:ln w="9525" cap="flat" cmpd="sng" algn="ctr">
              <a:solidFill>
                <a:schemeClr val="accent4">
                  <a:tint val="94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alpha val="70000"/>
            </a:schemeClr>
          </a:solidFill>
          <a:ln>
            <a:noFill/>
          </a:ln>
          <a:effectLst/>
        </c:spPr>
        <c:marker>
          <c:symbol val="circle"/>
          <c:size val="6"/>
          <c:spPr>
            <a:gradFill>
              <a:gsLst>
                <a:gs pos="0">
                  <a:schemeClr val="accent4">
                    <a:tint val="81000"/>
                  </a:schemeClr>
                </a:gs>
                <a:gs pos="46000">
                  <a:schemeClr val="accent4">
                    <a:tint val="81000"/>
                  </a:schemeClr>
                </a:gs>
                <a:gs pos="100000">
                  <a:schemeClr val="accent4">
                    <a:tint val="81000"/>
                    <a:lumMod val="20000"/>
                    <a:lumOff val="80000"/>
                    <a:alpha val="0"/>
                  </a:schemeClr>
                </a:gs>
              </a:gsLst>
              <a:path path="circle">
                <a:fillToRect l="50000" t="-80000" r="50000" b="180000"/>
              </a:path>
            </a:gradFill>
            <a:ln w="9525" cap="flat" cmpd="sng" algn="ctr">
              <a:solidFill>
                <a:schemeClr val="accent4">
                  <a:tint val="81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alpha val="70000"/>
            </a:schemeClr>
          </a:solidFill>
          <a:ln>
            <a:noFill/>
          </a:ln>
          <a:effectLst/>
        </c:spPr>
        <c:marker>
          <c:symbol val="circle"/>
          <c:size val="6"/>
          <c:spPr>
            <a:gradFill>
              <a:gsLst>
                <a:gs pos="0">
                  <a:schemeClr val="accent4">
                    <a:tint val="69000"/>
                  </a:schemeClr>
                </a:gs>
                <a:gs pos="46000">
                  <a:schemeClr val="accent4">
                    <a:tint val="69000"/>
                  </a:schemeClr>
                </a:gs>
                <a:gs pos="100000">
                  <a:schemeClr val="accent4">
                    <a:tint val="69000"/>
                    <a:lumMod val="20000"/>
                    <a:lumOff val="80000"/>
                    <a:alpha val="0"/>
                  </a:schemeClr>
                </a:gs>
              </a:gsLst>
              <a:path path="circle">
                <a:fillToRect l="50000" t="-80000" r="50000" b="180000"/>
              </a:path>
            </a:gradFill>
            <a:ln w="9525" cap="flat" cmpd="sng" algn="ctr">
              <a:solidFill>
                <a:schemeClr val="accent4">
                  <a:tint val="69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alpha val="70000"/>
            </a:schemeClr>
          </a:solidFill>
          <a:ln>
            <a:noFill/>
          </a:ln>
          <a:effectLst/>
        </c:spPr>
        <c:marker>
          <c:symbol val="circle"/>
          <c:size val="6"/>
          <c:spPr>
            <a:gradFill>
              <a:gsLst>
                <a:gs pos="0">
                  <a:schemeClr val="accent4">
                    <a:tint val="56000"/>
                  </a:schemeClr>
                </a:gs>
                <a:gs pos="46000">
                  <a:schemeClr val="accent4">
                    <a:tint val="56000"/>
                  </a:schemeClr>
                </a:gs>
                <a:gs pos="100000">
                  <a:schemeClr val="accent4">
                    <a:tint val="56000"/>
                    <a:lumMod val="20000"/>
                    <a:lumOff val="80000"/>
                    <a:alpha val="0"/>
                  </a:schemeClr>
                </a:gs>
              </a:gsLst>
              <a:path path="circle">
                <a:fillToRect l="50000" t="-80000" r="50000" b="180000"/>
              </a:path>
            </a:gradFill>
            <a:ln w="9525" cap="flat" cmpd="sng" algn="ctr">
              <a:solidFill>
                <a:schemeClr val="accent4">
                  <a:tint val="5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alpha val="70000"/>
            </a:schemeClr>
          </a:solidFill>
          <a:ln>
            <a:noFill/>
          </a:ln>
          <a:effectLst/>
        </c:spPr>
        <c:marker>
          <c:symbol val="circle"/>
          <c:size val="6"/>
          <c:spPr>
            <a:gradFill>
              <a:gsLst>
                <a:gs pos="0">
                  <a:schemeClr val="accent4">
                    <a:tint val="43000"/>
                  </a:schemeClr>
                </a:gs>
                <a:gs pos="46000">
                  <a:schemeClr val="accent4">
                    <a:tint val="43000"/>
                  </a:schemeClr>
                </a:gs>
                <a:gs pos="100000">
                  <a:schemeClr val="accent4">
                    <a:tint val="43000"/>
                    <a:lumMod val="20000"/>
                    <a:lumOff val="80000"/>
                    <a:alpha val="0"/>
                  </a:schemeClr>
                </a:gs>
              </a:gsLst>
              <a:path path="circle">
                <a:fillToRect l="50000" t="-80000" r="50000" b="180000"/>
              </a:path>
            </a:gradFill>
            <a:ln w="9525" cap="flat" cmpd="sng" algn="ctr">
              <a:solidFill>
                <a:schemeClr val="accent4">
                  <a:tint val="43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Total_CO2_Pivot!$B$3:$B$4</c:f>
              <c:strCache>
                <c:ptCount val="1"/>
                <c:pt idx="0">
                  <c:v>Brazil</c:v>
                </c:pt>
              </c:strCache>
            </c:strRef>
          </c:tx>
          <c:spPr>
            <a:solidFill>
              <a:schemeClr val="accent4">
                <a:shade val="42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Total_CO2_Pivot!$B$5:$B$14</c:f>
              <c:numCache>
                <c:formatCode>0.00</c:formatCode>
                <c:ptCount val="9"/>
                <c:pt idx="0">
                  <c:v>528.17399999999998</c:v>
                </c:pt>
                <c:pt idx="1">
                  <c:v>491.745</c:v>
                </c:pt>
                <c:pt idx="2">
                  <c:v>497.255</c:v>
                </c:pt>
                <c:pt idx="3">
                  <c:v>476.601</c:v>
                </c:pt>
                <c:pt idx="4">
                  <c:v>476.72399999999999</c:v>
                </c:pt>
                <c:pt idx="5">
                  <c:v>447.99900000000002</c:v>
                </c:pt>
                <c:pt idx="6">
                  <c:v>496.56200000000001</c:v>
                </c:pt>
                <c:pt idx="7">
                  <c:v>480.05799999999999</c:v>
                </c:pt>
                <c:pt idx="8">
                  <c:v>483.99200000000002</c:v>
                </c:pt>
              </c:numCache>
            </c:numRef>
          </c:val>
          <c:extLst>
            <c:ext xmlns:c16="http://schemas.microsoft.com/office/drawing/2014/chart" uri="{C3380CC4-5D6E-409C-BE32-E72D297353CC}">
              <c16:uniqueId val="{00000000-B991-4E46-A999-8032DF9F3779}"/>
            </c:ext>
          </c:extLst>
        </c:ser>
        <c:ser>
          <c:idx val="1"/>
          <c:order val="1"/>
          <c:tx>
            <c:strRef>
              <c:f>Total_CO2_Pivot!$C$3:$C$4</c:f>
              <c:strCache>
                <c:ptCount val="1"/>
                <c:pt idx="0">
                  <c:v>Canada</c:v>
                </c:pt>
              </c:strCache>
            </c:strRef>
          </c:tx>
          <c:spPr>
            <a:solidFill>
              <a:schemeClr val="accent4">
                <a:shade val="55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Total_CO2_Pivot!$C$5:$C$14</c:f>
              <c:numCache>
                <c:formatCode>0.00</c:formatCode>
                <c:ptCount val="9"/>
                <c:pt idx="0">
                  <c:v>563.00300000000004</c:v>
                </c:pt>
                <c:pt idx="1">
                  <c:v>553.70699999999999</c:v>
                </c:pt>
                <c:pt idx="2">
                  <c:v>566.66</c:v>
                </c:pt>
                <c:pt idx="3">
                  <c:v>575.09100000000001</c:v>
                </c:pt>
                <c:pt idx="4">
                  <c:v>579.00699999999995</c:v>
                </c:pt>
                <c:pt idx="5">
                  <c:v>524.20799999999997</c:v>
                </c:pt>
                <c:pt idx="6">
                  <c:v>537.47900000000004</c:v>
                </c:pt>
                <c:pt idx="7">
                  <c:v>547.65800000000002</c:v>
                </c:pt>
                <c:pt idx="8">
                  <c:v>545.47900000000004</c:v>
                </c:pt>
              </c:numCache>
            </c:numRef>
          </c:val>
          <c:extLst>
            <c:ext xmlns:c16="http://schemas.microsoft.com/office/drawing/2014/chart" uri="{C3380CC4-5D6E-409C-BE32-E72D297353CC}">
              <c16:uniqueId val="{0000004A-B991-4E46-A999-8032DF9F3779}"/>
            </c:ext>
          </c:extLst>
        </c:ser>
        <c:ser>
          <c:idx val="2"/>
          <c:order val="2"/>
          <c:tx>
            <c:strRef>
              <c:f>Total_CO2_Pivot!$D$3:$D$4</c:f>
              <c:strCache>
                <c:ptCount val="1"/>
                <c:pt idx="0">
                  <c:v>China</c:v>
                </c:pt>
              </c:strCache>
            </c:strRef>
          </c:tx>
          <c:spPr>
            <a:solidFill>
              <a:schemeClr val="accent4">
                <a:shade val="68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Total_CO2_Pivot!$D$5:$D$14</c:f>
              <c:numCache>
                <c:formatCode>0.00</c:formatCode>
                <c:ptCount val="9"/>
                <c:pt idx="0">
                  <c:v>9858.0400000000009</c:v>
                </c:pt>
                <c:pt idx="1">
                  <c:v>9748.1749999999993</c:v>
                </c:pt>
                <c:pt idx="2">
                  <c:v>10000.013999999999</c:v>
                </c:pt>
                <c:pt idx="3">
                  <c:v>10346.790000000001</c:v>
                </c:pt>
                <c:pt idx="4">
                  <c:v>10713.514999999999</c:v>
                </c:pt>
                <c:pt idx="5">
                  <c:v>10896.521000000001</c:v>
                </c:pt>
                <c:pt idx="6">
                  <c:v>11284.401</c:v>
                </c:pt>
                <c:pt idx="7">
                  <c:v>11711.808000000001</c:v>
                </c:pt>
                <c:pt idx="8">
                  <c:v>12172.009</c:v>
                </c:pt>
              </c:numCache>
            </c:numRef>
          </c:val>
          <c:extLst>
            <c:ext xmlns:c16="http://schemas.microsoft.com/office/drawing/2014/chart" uri="{C3380CC4-5D6E-409C-BE32-E72D297353CC}">
              <c16:uniqueId val="{0000004B-B991-4E46-A999-8032DF9F3779}"/>
            </c:ext>
          </c:extLst>
        </c:ser>
        <c:ser>
          <c:idx val="3"/>
          <c:order val="3"/>
          <c:tx>
            <c:strRef>
              <c:f>Total_CO2_Pivot!$E$3:$E$4</c:f>
              <c:strCache>
                <c:ptCount val="1"/>
                <c:pt idx="0">
                  <c:v>Germany</c:v>
                </c:pt>
              </c:strCache>
            </c:strRef>
          </c:tx>
          <c:spPr>
            <a:solidFill>
              <a:schemeClr val="accent4">
                <a:shade val="80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Total_CO2_Pivot!$E$5:$E$14</c:f>
              <c:numCache>
                <c:formatCode>0.00</c:formatCode>
                <c:ptCount val="9"/>
                <c:pt idx="0">
                  <c:v>800.82299999999998</c:v>
                </c:pt>
                <c:pt idx="1">
                  <c:v>797.98800000000006</c:v>
                </c:pt>
                <c:pt idx="2">
                  <c:v>784.59500000000003</c:v>
                </c:pt>
                <c:pt idx="3">
                  <c:v>758.77099999999996</c:v>
                </c:pt>
                <c:pt idx="4">
                  <c:v>708.649</c:v>
                </c:pt>
                <c:pt idx="5">
                  <c:v>647.17700000000002</c:v>
                </c:pt>
                <c:pt idx="6">
                  <c:v>677.99800000000005</c:v>
                </c:pt>
                <c:pt idx="7">
                  <c:v>667.84299999999996</c:v>
                </c:pt>
                <c:pt idx="8">
                  <c:v>593.76599999999996</c:v>
                </c:pt>
              </c:numCache>
            </c:numRef>
          </c:val>
          <c:extLst>
            <c:ext xmlns:c16="http://schemas.microsoft.com/office/drawing/2014/chart" uri="{C3380CC4-5D6E-409C-BE32-E72D297353CC}">
              <c16:uniqueId val="{0000004C-B991-4E46-A999-8032DF9F3779}"/>
            </c:ext>
          </c:extLst>
        </c:ser>
        <c:ser>
          <c:idx val="4"/>
          <c:order val="4"/>
          <c:tx>
            <c:strRef>
              <c:f>Total_CO2_Pivot!$F$3:$F$4</c:f>
              <c:strCache>
                <c:ptCount val="1"/>
                <c:pt idx="0">
                  <c:v>India</c:v>
                </c:pt>
              </c:strCache>
            </c:strRef>
          </c:tx>
          <c:spPr>
            <a:solidFill>
              <a:schemeClr val="accent4">
                <a:shade val="93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Total_CO2_Pivot!$F$5:$F$14</c:f>
              <c:numCache>
                <c:formatCode>0.00</c:formatCode>
                <c:ptCount val="9"/>
                <c:pt idx="0">
                  <c:v>2231.817</c:v>
                </c:pt>
                <c:pt idx="1">
                  <c:v>2352.54</c:v>
                </c:pt>
                <c:pt idx="2">
                  <c:v>2425.7220000000002</c:v>
                </c:pt>
                <c:pt idx="3">
                  <c:v>2595.2269999999999</c:v>
                </c:pt>
                <c:pt idx="4">
                  <c:v>2611.1750000000002</c:v>
                </c:pt>
                <c:pt idx="5">
                  <c:v>2422.732</c:v>
                </c:pt>
                <c:pt idx="6">
                  <c:v>2675.7779999999998</c:v>
                </c:pt>
                <c:pt idx="7">
                  <c:v>2831.1320000000001</c:v>
                </c:pt>
                <c:pt idx="8">
                  <c:v>3062.7559999999999</c:v>
                </c:pt>
              </c:numCache>
            </c:numRef>
          </c:val>
          <c:extLst>
            <c:ext xmlns:c16="http://schemas.microsoft.com/office/drawing/2014/chart" uri="{C3380CC4-5D6E-409C-BE32-E72D297353CC}">
              <c16:uniqueId val="{0000004D-B991-4E46-A999-8032DF9F3779}"/>
            </c:ext>
          </c:extLst>
        </c:ser>
        <c:ser>
          <c:idx val="5"/>
          <c:order val="5"/>
          <c:tx>
            <c:strRef>
              <c:f>Total_CO2_Pivot!$G$3:$G$4</c:f>
              <c:strCache>
                <c:ptCount val="1"/>
                <c:pt idx="0">
                  <c:v>Indonesia</c:v>
                </c:pt>
              </c:strCache>
            </c:strRef>
          </c:tx>
          <c:spPr>
            <a:solidFill>
              <a:schemeClr val="accent4">
                <a:tint val="94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Total_CO2_Pivot!$G$5:$G$14</c:f>
              <c:numCache>
                <c:formatCode>0.00</c:formatCode>
                <c:ptCount val="9"/>
                <c:pt idx="0">
                  <c:v>551.16</c:v>
                </c:pt>
                <c:pt idx="1">
                  <c:v>547.96900000000005</c:v>
                </c:pt>
                <c:pt idx="2">
                  <c:v>570.928</c:v>
                </c:pt>
                <c:pt idx="3">
                  <c:v>607.37800000000004</c:v>
                </c:pt>
                <c:pt idx="4">
                  <c:v>665.04899999999998</c:v>
                </c:pt>
                <c:pt idx="5">
                  <c:v>623.30399999999997</c:v>
                </c:pt>
                <c:pt idx="6">
                  <c:v>632.94600000000003</c:v>
                </c:pt>
                <c:pt idx="7">
                  <c:v>758.02099999999996</c:v>
                </c:pt>
                <c:pt idx="8">
                  <c:v>762.35799999999995</c:v>
                </c:pt>
              </c:numCache>
            </c:numRef>
          </c:val>
          <c:extLst>
            <c:ext xmlns:c16="http://schemas.microsoft.com/office/drawing/2014/chart" uri="{C3380CC4-5D6E-409C-BE32-E72D297353CC}">
              <c16:uniqueId val="{0000004E-B991-4E46-A999-8032DF9F3779}"/>
            </c:ext>
          </c:extLst>
        </c:ser>
        <c:ser>
          <c:idx val="6"/>
          <c:order val="6"/>
          <c:tx>
            <c:strRef>
              <c:f>Total_CO2_Pivot!$H$3:$H$4</c:f>
              <c:strCache>
                <c:ptCount val="1"/>
                <c:pt idx="0">
                  <c:v>Japan</c:v>
                </c:pt>
              </c:strCache>
            </c:strRef>
          </c:tx>
          <c:spPr>
            <a:solidFill>
              <a:schemeClr val="accent4">
                <a:tint val="81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Total_CO2_Pivot!$H$5:$H$14</c:f>
              <c:numCache>
                <c:formatCode>0.00</c:formatCode>
                <c:ptCount val="9"/>
                <c:pt idx="0">
                  <c:v>1219.982</c:v>
                </c:pt>
                <c:pt idx="1">
                  <c:v>1199.933</c:v>
                </c:pt>
                <c:pt idx="2">
                  <c:v>1184.3920000000001</c:v>
                </c:pt>
                <c:pt idx="3">
                  <c:v>1138.55</c:v>
                </c:pt>
                <c:pt idx="4">
                  <c:v>1102.0630000000001</c:v>
                </c:pt>
                <c:pt idx="5">
                  <c:v>1037.2850000000001</c:v>
                </c:pt>
                <c:pt idx="6">
                  <c:v>1058.502</c:v>
                </c:pt>
                <c:pt idx="7">
                  <c:v>1029.645</c:v>
                </c:pt>
                <c:pt idx="8">
                  <c:v>986.91</c:v>
                </c:pt>
              </c:numCache>
            </c:numRef>
          </c:val>
          <c:extLst>
            <c:ext xmlns:c16="http://schemas.microsoft.com/office/drawing/2014/chart" uri="{C3380CC4-5D6E-409C-BE32-E72D297353CC}">
              <c16:uniqueId val="{0000004F-B991-4E46-A999-8032DF9F3779}"/>
            </c:ext>
          </c:extLst>
        </c:ser>
        <c:ser>
          <c:idx val="7"/>
          <c:order val="7"/>
          <c:tx>
            <c:strRef>
              <c:f>Total_CO2_Pivot!$I$3:$I$4</c:f>
              <c:strCache>
                <c:ptCount val="1"/>
                <c:pt idx="0">
                  <c:v>Russia</c:v>
                </c:pt>
              </c:strCache>
            </c:strRef>
          </c:tx>
          <c:spPr>
            <a:solidFill>
              <a:schemeClr val="accent4">
                <a:tint val="69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Total_CO2_Pivot!$I$5:$I$14</c:f>
              <c:numCache>
                <c:formatCode>0.00</c:formatCode>
                <c:ptCount val="9"/>
                <c:pt idx="0">
                  <c:v>1635.2439999999999</c:v>
                </c:pt>
                <c:pt idx="1">
                  <c:v>1629.328</c:v>
                </c:pt>
                <c:pt idx="2">
                  <c:v>1661.0119999999999</c:v>
                </c:pt>
                <c:pt idx="3">
                  <c:v>1709.91</c:v>
                </c:pt>
                <c:pt idx="4">
                  <c:v>1704.4590000000001</c:v>
                </c:pt>
                <c:pt idx="5">
                  <c:v>1631.902</c:v>
                </c:pt>
                <c:pt idx="6">
                  <c:v>1674.5239999999999</c:v>
                </c:pt>
                <c:pt idx="7">
                  <c:v>1675.461</c:v>
                </c:pt>
                <c:pt idx="8">
                  <c:v>1733.135</c:v>
                </c:pt>
              </c:numCache>
            </c:numRef>
          </c:val>
          <c:extLst>
            <c:ext xmlns:c16="http://schemas.microsoft.com/office/drawing/2014/chart" uri="{C3380CC4-5D6E-409C-BE32-E72D297353CC}">
              <c16:uniqueId val="{00000050-B991-4E46-A999-8032DF9F3779}"/>
            </c:ext>
          </c:extLst>
        </c:ser>
        <c:ser>
          <c:idx val="8"/>
          <c:order val="8"/>
          <c:tx>
            <c:strRef>
              <c:f>Total_CO2_Pivot!$J$3:$J$4</c:f>
              <c:strCache>
                <c:ptCount val="1"/>
                <c:pt idx="0">
                  <c:v>United Kingdom</c:v>
                </c:pt>
              </c:strCache>
            </c:strRef>
          </c:tx>
          <c:spPr>
            <a:solidFill>
              <a:schemeClr val="accent4">
                <a:tint val="56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Total_CO2_Pivot!$J$5:$J$14</c:f>
              <c:numCache>
                <c:formatCode>0.00</c:formatCode>
                <c:ptCount val="9"/>
                <c:pt idx="0">
                  <c:v>422.46100000000001</c:v>
                </c:pt>
                <c:pt idx="1">
                  <c:v>399.43</c:v>
                </c:pt>
                <c:pt idx="2">
                  <c:v>387.36700000000002</c:v>
                </c:pt>
                <c:pt idx="3">
                  <c:v>379.73</c:v>
                </c:pt>
                <c:pt idx="4">
                  <c:v>364.75299999999999</c:v>
                </c:pt>
                <c:pt idx="5">
                  <c:v>326.26299999999998</c:v>
                </c:pt>
                <c:pt idx="6">
                  <c:v>342.36599999999999</c:v>
                </c:pt>
                <c:pt idx="7">
                  <c:v>311.11799999999999</c:v>
                </c:pt>
                <c:pt idx="8">
                  <c:v>307.82600000000002</c:v>
                </c:pt>
              </c:numCache>
            </c:numRef>
          </c:val>
          <c:extLst>
            <c:ext xmlns:c16="http://schemas.microsoft.com/office/drawing/2014/chart" uri="{C3380CC4-5D6E-409C-BE32-E72D297353CC}">
              <c16:uniqueId val="{00000051-B991-4E46-A999-8032DF9F3779}"/>
            </c:ext>
          </c:extLst>
        </c:ser>
        <c:ser>
          <c:idx val="9"/>
          <c:order val="9"/>
          <c:tx>
            <c:strRef>
              <c:f>Total_CO2_Pivot!$K$3:$K$4</c:f>
              <c:strCache>
                <c:ptCount val="1"/>
                <c:pt idx="0">
                  <c:v>United States</c:v>
                </c:pt>
              </c:strCache>
            </c:strRef>
          </c:tx>
          <c:spPr>
            <a:solidFill>
              <a:schemeClr val="accent4">
                <a:tint val="43000"/>
                <a:alpha val="70000"/>
              </a:schemeClr>
            </a:solidFill>
            <a:ln>
              <a:noFill/>
            </a:ln>
            <a:effectLst/>
          </c:spPr>
          <c:invertIfNegative val="0"/>
          <c:cat>
            <c:strRef>
              <c:f>Total_CO2_Pivot!$A$5:$A$14</c:f>
              <c:strCache>
                <c:ptCount val="9"/>
                <c:pt idx="0">
                  <c:v>2015</c:v>
                </c:pt>
                <c:pt idx="1">
                  <c:v>2016</c:v>
                </c:pt>
                <c:pt idx="2">
                  <c:v>2017</c:v>
                </c:pt>
                <c:pt idx="3">
                  <c:v>2018</c:v>
                </c:pt>
                <c:pt idx="4">
                  <c:v>2019</c:v>
                </c:pt>
                <c:pt idx="5">
                  <c:v>2020</c:v>
                </c:pt>
                <c:pt idx="6">
                  <c:v>2021</c:v>
                </c:pt>
                <c:pt idx="7">
                  <c:v>2022</c:v>
                </c:pt>
                <c:pt idx="8">
                  <c:v>2023</c:v>
                </c:pt>
              </c:strCache>
            </c:strRef>
          </c:cat>
          <c:val>
            <c:numRef>
              <c:f>Total_CO2_Pivot!$K$5:$K$14</c:f>
              <c:numCache>
                <c:formatCode>0.00</c:formatCode>
                <c:ptCount val="9"/>
                <c:pt idx="0">
                  <c:v>5368.4970000000003</c:v>
                </c:pt>
                <c:pt idx="1">
                  <c:v>5245.3620000000001</c:v>
                </c:pt>
                <c:pt idx="2">
                  <c:v>5195.4170000000004</c:v>
                </c:pt>
                <c:pt idx="3">
                  <c:v>5361.2359999999999</c:v>
                </c:pt>
                <c:pt idx="4">
                  <c:v>5235.9120000000003</c:v>
                </c:pt>
                <c:pt idx="5">
                  <c:v>4689.9539999999997</c:v>
                </c:pt>
                <c:pt idx="6">
                  <c:v>5020.1109999999999</c:v>
                </c:pt>
                <c:pt idx="7">
                  <c:v>5055.4030000000002</c:v>
                </c:pt>
                <c:pt idx="8">
                  <c:v>4918.4070000000002</c:v>
                </c:pt>
              </c:numCache>
            </c:numRef>
          </c:val>
          <c:extLst>
            <c:ext xmlns:c16="http://schemas.microsoft.com/office/drawing/2014/chart" uri="{C3380CC4-5D6E-409C-BE32-E72D297353CC}">
              <c16:uniqueId val="{00000052-B991-4E46-A999-8032DF9F3779}"/>
            </c:ext>
          </c:extLst>
        </c:ser>
        <c:dLbls>
          <c:showLegendKey val="0"/>
          <c:showVal val="0"/>
          <c:showCatName val="0"/>
          <c:showSerName val="0"/>
          <c:showPercent val="0"/>
          <c:showBubbleSize val="0"/>
        </c:dLbls>
        <c:gapWidth val="50"/>
        <c:overlap val="100"/>
        <c:axId val="1495190752"/>
        <c:axId val="1495191232"/>
      </c:barChart>
      <c:catAx>
        <c:axId val="14951907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91232"/>
        <c:crosses val="autoZero"/>
        <c:auto val="1"/>
        <c:lblAlgn val="ctr"/>
        <c:lblOffset val="100"/>
        <c:noMultiLvlLbl val="0"/>
      </c:catAx>
      <c:valAx>
        <c:axId val="1495191232"/>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9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[Raw_Data.xlsx]Per_Capita_Pivot!PivotTable6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 </a:t>
            </a:r>
            <a:r>
              <a:rPr lang="en-US">
                <a:effectLst/>
              </a:rPr>
              <a:t>CO2 per </a:t>
            </a:r>
            <a:r>
              <a:rPr lang="en-US" sz="1200">
                <a:effectLst/>
              </a:rPr>
              <a:t>Capita</a:t>
            </a:r>
            <a:r>
              <a:rPr lang="en-US">
                <a:effectLst/>
              </a:rPr>
              <a:t> (t/person)</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Per_Capita_Pivot!$B$3:$B$4</c:f>
              <c:strCache>
                <c:ptCount val="1"/>
                <c:pt idx="0">
                  <c:v>Brazil</c:v>
                </c:pt>
              </c:strCache>
            </c:strRef>
          </c:tx>
          <c:spPr>
            <a:solidFill>
              <a:schemeClr val="accent2">
                <a:shade val="42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Per_Capita_Pivot!$B$5:$B$14</c:f>
              <c:numCache>
                <c:formatCode>0.00</c:formatCode>
                <c:ptCount val="9"/>
                <c:pt idx="0">
                  <c:v>2.6190000000000002</c:v>
                </c:pt>
                <c:pt idx="1">
                  <c:v>2.42</c:v>
                </c:pt>
                <c:pt idx="2">
                  <c:v>2.4289999999999998</c:v>
                </c:pt>
                <c:pt idx="3">
                  <c:v>2.3119999999999998</c:v>
                </c:pt>
                <c:pt idx="4">
                  <c:v>2.298</c:v>
                </c:pt>
                <c:pt idx="5">
                  <c:v>2.1469999999999998</c:v>
                </c:pt>
                <c:pt idx="6">
                  <c:v>2.37</c:v>
                </c:pt>
                <c:pt idx="7">
                  <c:v>2.2829999999999999</c:v>
                </c:pt>
                <c:pt idx="8">
                  <c:v>2.2919999999999998</c:v>
                </c:pt>
              </c:numCache>
            </c:numRef>
          </c:val>
          <c:extLst>
            <c:ext xmlns:c16="http://schemas.microsoft.com/office/drawing/2014/chart" uri="{C3380CC4-5D6E-409C-BE32-E72D297353CC}">
              <c16:uniqueId val="{00000000-7294-4E67-8DCB-411E5D64A924}"/>
            </c:ext>
          </c:extLst>
        </c:ser>
        <c:ser>
          <c:idx val="1"/>
          <c:order val="1"/>
          <c:tx>
            <c:strRef>
              <c:f>Per_Capita_Pivot!$C$3:$C$4</c:f>
              <c:strCache>
                <c:ptCount val="1"/>
                <c:pt idx="0">
                  <c:v>Canada</c:v>
                </c:pt>
              </c:strCache>
            </c:strRef>
          </c:tx>
          <c:spPr>
            <a:solidFill>
              <a:schemeClr val="accent2">
                <a:shade val="55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Per_Capita_Pivot!$C$5:$C$14</c:f>
              <c:numCache>
                <c:formatCode>0.00</c:formatCode>
                <c:ptCount val="9"/>
                <c:pt idx="0">
                  <c:v>15.654999999999999</c:v>
                </c:pt>
                <c:pt idx="1">
                  <c:v>15.231</c:v>
                </c:pt>
                <c:pt idx="2">
                  <c:v>15.395</c:v>
                </c:pt>
                <c:pt idx="3">
                  <c:v>15.42</c:v>
                </c:pt>
                <c:pt idx="4">
                  <c:v>15.324999999999999</c:v>
                </c:pt>
                <c:pt idx="5">
                  <c:v>13.733000000000001</c:v>
                </c:pt>
                <c:pt idx="6">
                  <c:v>13.977</c:v>
                </c:pt>
                <c:pt idx="7">
                  <c:v>14.106999999999999</c:v>
                </c:pt>
                <c:pt idx="8">
                  <c:v>13.88</c:v>
                </c:pt>
              </c:numCache>
            </c:numRef>
          </c:val>
          <c:extLst>
            <c:ext xmlns:c16="http://schemas.microsoft.com/office/drawing/2014/chart" uri="{C3380CC4-5D6E-409C-BE32-E72D297353CC}">
              <c16:uniqueId val="{00000041-7294-4E67-8DCB-411E5D64A924}"/>
            </c:ext>
          </c:extLst>
        </c:ser>
        <c:ser>
          <c:idx val="2"/>
          <c:order val="2"/>
          <c:tx>
            <c:strRef>
              <c:f>Per_Capita_Pivot!$D$3:$D$4</c:f>
              <c:strCache>
                <c:ptCount val="1"/>
                <c:pt idx="0">
                  <c:v>China</c:v>
                </c:pt>
              </c:strCache>
            </c:strRef>
          </c:tx>
          <c:spPr>
            <a:solidFill>
              <a:schemeClr val="accent2">
                <a:shade val="68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Per_Capita_Pivot!$D$5:$D$14</c:f>
              <c:numCache>
                <c:formatCode>0.00</c:formatCode>
                <c:ptCount val="9"/>
                <c:pt idx="0">
                  <c:v>7.0609999999999999</c:v>
                </c:pt>
                <c:pt idx="1">
                  <c:v>6.9429999999999996</c:v>
                </c:pt>
                <c:pt idx="2">
                  <c:v>7.08</c:v>
                </c:pt>
                <c:pt idx="3">
                  <c:v>7.2919999999999998</c:v>
                </c:pt>
                <c:pt idx="4">
                  <c:v>7.5259999999999998</c:v>
                </c:pt>
                <c:pt idx="5">
                  <c:v>7.641</c:v>
                </c:pt>
                <c:pt idx="6">
                  <c:v>7.9109999999999996</c:v>
                </c:pt>
                <c:pt idx="7">
                  <c:v>8.218</c:v>
                </c:pt>
                <c:pt idx="8">
                  <c:v>8.5559999999999992</c:v>
                </c:pt>
              </c:numCache>
            </c:numRef>
          </c:val>
          <c:extLst>
            <c:ext xmlns:c16="http://schemas.microsoft.com/office/drawing/2014/chart" uri="{C3380CC4-5D6E-409C-BE32-E72D297353CC}">
              <c16:uniqueId val="{00000042-7294-4E67-8DCB-411E5D64A924}"/>
            </c:ext>
          </c:extLst>
        </c:ser>
        <c:ser>
          <c:idx val="3"/>
          <c:order val="3"/>
          <c:tx>
            <c:strRef>
              <c:f>Per_Capita_Pivot!$E$3:$E$4</c:f>
              <c:strCache>
                <c:ptCount val="1"/>
                <c:pt idx="0">
                  <c:v>Germany</c:v>
                </c:pt>
              </c:strCache>
            </c:strRef>
          </c:tx>
          <c:spPr>
            <a:solidFill>
              <a:schemeClr val="accent2">
                <a:shade val="80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Per_Capita_Pivot!$E$5:$E$14</c:f>
              <c:numCache>
                <c:formatCode>0.00</c:formatCode>
                <c:ptCount val="9"/>
                <c:pt idx="0">
                  <c:v>9.7569999999999997</c:v>
                </c:pt>
                <c:pt idx="1">
                  <c:v>9.6419999999999995</c:v>
                </c:pt>
                <c:pt idx="2">
                  <c:v>9.4410000000000007</c:v>
                </c:pt>
                <c:pt idx="3">
                  <c:v>9.1010000000000009</c:v>
                </c:pt>
                <c:pt idx="4">
                  <c:v>8.4809999999999999</c:v>
                </c:pt>
                <c:pt idx="5">
                  <c:v>7.7389999999999999</c:v>
                </c:pt>
                <c:pt idx="6">
                  <c:v>8.1010000000000009</c:v>
                </c:pt>
                <c:pt idx="7">
                  <c:v>7.9420000000000002</c:v>
                </c:pt>
                <c:pt idx="8">
                  <c:v>7.0229999999999997</c:v>
                </c:pt>
              </c:numCache>
            </c:numRef>
          </c:val>
          <c:extLst>
            <c:ext xmlns:c16="http://schemas.microsoft.com/office/drawing/2014/chart" uri="{C3380CC4-5D6E-409C-BE32-E72D297353CC}">
              <c16:uniqueId val="{00000043-7294-4E67-8DCB-411E5D64A924}"/>
            </c:ext>
          </c:extLst>
        </c:ser>
        <c:ser>
          <c:idx val="4"/>
          <c:order val="4"/>
          <c:tx>
            <c:strRef>
              <c:f>Per_Capita_Pivot!$F$3:$F$4</c:f>
              <c:strCache>
                <c:ptCount val="1"/>
                <c:pt idx="0">
                  <c:v>India</c:v>
                </c:pt>
              </c:strCache>
            </c:strRef>
          </c:tx>
          <c:spPr>
            <a:solidFill>
              <a:schemeClr val="accent2">
                <a:shade val="93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Per_Capita_Pivot!$F$5:$F$14</c:f>
              <c:numCache>
                <c:formatCode>0.00</c:formatCode>
                <c:ptCount val="9"/>
                <c:pt idx="0">
                  <c:v>1.681</c:v>
                </c:pt>
                <c:pt idx="1">
                  <c:v>1.75</c:v>
                </c:pt>
                <c:pt idx="2">
                  <c:v>1.784</c:v>
                </c:pt>
                <c:pt idx="3">
                  <c:v>1.8879999999999999</c:v>
                </c:pt>
                <c:pt idx="4">
                  <c:v>1.88</c:v>
                </c:pt>
                <c:pt idx="5">
                  <c:v>1.7270000000000001</c:v>
                </c:pt>
                <c:pt idx="6">
                  <c:v>1.8919999999999999</c:v>
                </c:pt>
                <c:pt idx="7">
                  <c:v>1.986</c:v>
                </c:pt>
                <c:pt idx="8">
                  <c:v>2.13</c:v>
                </c:pt>
              </c:numCache>
            </c:numRef>
          </c:val>
          <c:extLst>
            <c:ext xmlns:c16="http://schemas.microsoft.com/office/drawing/2014/chart" uri="{C3380CC4-5D6E-409C-BE32-E72D297353CC}">
              <c16:uniqueId val="{00000044-7294-4E67-8DCB-411E5D64A924}"/>
            </c:ext>
          </c:extLst>
        </c:ser>
        <c:ser>
          <c:idx val="5"/>
          <c:order val="5"/>
          <c:tx>
            <c:strRef>
              <c:f>Per_Capita_Pivot!$G$3:$G$4</c:f>
              <c:strCache>
                <c:ptCount val="1"/>
                <c:pt idx="0">
                  <c:v>Indonesia</c:v>
                </c:pt>
              </c:strCache>
            </c:strRef>
          </c:tx>
          <c:spPr>
            <a:solidFill>
              <a:schemeClr val="accent2">
                <a:tint val="94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Per_Capita_Pivot!$G$5:$G$14</c:f>
              <c:numCache>
                <c:formatCode>0.00</c:formatCode>
                <c:ptCount val="9"/>
                <c:pt idx="0">
                  <c:v>2.105</c:v>
                </c:pt>
                <c:pt idx="1">
                  <c:v>2.0710000000000002</c:v>
                </c:pt>
                <c:pt idx="2">
                  <c:v>2.1360000000000001</c:v>
                </c:pt>
                <c:pt idx="3">
                  <c:v>2.25</c:v>
                </c:pt>
                <c:pt idx="4">
                  <c:v>2.4409999999999998</c:v>
                </c:pt>
                <c:pt idx="5">
                  <c:v>2.2679999999999998</c:v>
                </c:pt>
                <c:pt idx="6">
                  <c:v>2.2869999999999999</c:v>
                </c:pt>
                <c:pt idx="7">
                  <c:v>2.7189999999999999</c:v>
                </c:pt>
                <c:pt idx="8">
                  <c:v>2.7109999999999999</c:v>
                </c:pt>
              </c:numCache>
            </c:numRef>
          </c:val>
          <c:extLst>
            <c:ext xmlns:c16="http://schemas.microsoft.com/office/drawing/2014/chart" uri="{C3380CC4-5D6E-409C-BE32-E72D297353CC}">
              <c16:uniqueId val="{00000045-7294-4E67-8DCB-411E5D64A924}"/>
            </c:ext>
          </c:extLst>
        </c:ser>
        <c:ser>
          <c:idx val="6"/>
          <c:order val="6"/>
          <c:tx>
            <c:strRef>
              <c:f>Per_Capita_Pivot!$H$3:$H$4</c:f>
              <c:strCache>
                <c:ptCount val="1"/>
                <c:pt idx="0">
                  <c:v>Japan</c:v>
                </c:pt>
              </c:strCache>
            </c:strRef>
          </c:tx>
          <c:spPr>
            <a:solidFill>
              <a:schemeClr val="accent2">
                <a:tint val="81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Per_Capita_Pivot!$H$5:$H$14</c:f>
              <c:numCache>
                <c:formatCode>0.00</c:formatCode>
                <c:ptCount val="9"/>
                <c:pt idx="0">
                  <c:v>9.5850000000000009</c:v>
                </c:pt>
                <c:pt idx="1">
                  <c:v>9.4359999999999999</c:v>
                </c:pt>
                <c:pt idx="2">
                  <c:v>9.3209999999999997</c:v>
                </c:pt>
                <c:pt idx="3">
                  <c:v>8.9710000000000001</c:v>
                </c:pt>
                <c:pt idx="4">
                  <c:v>8.6980000000000004</c:v>
                </c:pt>
                <c:pt idx="5">
                  <c:v>8.2129999999999992</c:v>
                </c:pt>
                <c:pt idx="6">
                  <c:v>8.4220000000000006</c:v>
                </c:pt>
                <c:pt idx="7">
                  <c:v>8.2370000000000001</c:v>
                </c:pt>
                <c:pt idx="8">
                  <c:v>7.9349999999999996</c:v>
                </c:pt>
              </c:numCache>
            </c:numRef>
          </c:val>
          <c:extLst>
            <c:ext xmlns:c16="http://schemas.microsoft.com/office/drawing/2014/chart" uri="{C3380CC4-5D6E-409C-BE32-E72D297353CC}">
              <c16:uniqueId val="{00000046-7294-4E67-8DCB-411E5D64A924}"/>
            </c:ext>
          </c:extLst>
        </c:ser>
        <c:ser>
          <c:idx val="7"/>
          <c:order val="7"/>
          <c:tx>
            <c:strRef>
              <c:f>Per_Capita_Pivot!$I$3:$I$4</c:f>
              <c:strCache>
                <c:ptCount val="1"/>
                <c:pt idx="0">
                  <c:v>Russia</c:v>
                </c:pt>
              </c:strCache>
            </c:strRef>
          </c:tx>
          <c:spPr>
            <a:solidFill>
              <a:schemeClr val="accent2">
                <a:tint val="69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Per_Capita_Pivot!$I$5:$I$14</c:f>
              <c:numCache>
                <c:formatCode>0.00</c:formatCode>
                <c:ptCount val="9"/>
                <c:pt idx="0">
                  <c:v>11.254</c:v>
                </c:pt>
                <c:pt idx="1">
                  <c:v>11.177</c:v>
                </c:pt>
                <c:pt idx="2">
                  <c:v>11.362</c:v>
                </c:pt>
                <c:pt idx="3">
                  <c:v>11.677</c:v>
                </c:pt>
                <c:pt idx="4">
                  <c:v>11.632</c:v>
                </c:pt>
                <c:pt idx="5">
                  <c:v>11.148999999999999</c:v>
                </c:pt>
                <c:pt idx="6">
                  <c:v>11.481999999999999</c:v>
                </c:pt>
                <c:pt idx="7">
                  <c:v>11.509</c:v>
                </c:pt>
                <c:pt idx="8">
                  <c:v>11.916</c:v>
                </c:pt>
              </c:numCache>
            </c:numRef>
          </c:val>
          <c:extLst>
            <c:ext xmlns:c16="http://schemas.microsoft.com/office/drawing/2014/chart" uri="{C3380CC4-5D6E-409C-BE32-E72D297353CC}">
              <c16:uniqueId val="{00000047-7294-4E67-8DCB-411E5D64A924}"/>
            </c:ext>
          </c:extLst>
        </c:ser>
        <c:ser>
          <c:idx val="8"/>
          <c:order val="8"/>
          <c:tx>
            <c:strRef>
              <c:f>Per_Capita_Pivot!$J$3:$J$4</c:f>
              <c:strCache>
                <c:ptCount val="1"/>
                <c:pt idx="0">
                  <c:v>United Kingdom</c:v>
                </c:pt>
              </c:strCache>
            </c:strRef>
          </c:tx>
          <c:spPr>
            <a:solidFill>
              <a:schemeClr val="accent2">
                <a:tint val="56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Per_Capita_Pivot!$J$5:$J$14</c:f>
              <c:numCache>
                <c:formatCode>0.00</c:formatCode>
                <c:ptCount val="9"/>
                <c:pt idx="0">
                  <c:v>6.4610000000000003</c:v>
                </c:pt>
                <c:pt idx="1">
                  <c:v>6.0620000000000003</c:v>
                </c:pt>
                <c:pt idx="2">
                  <c:v>5.8380000000000001</c:v>
                </c:pt>
                <c:pt idx="3">
                  <c:v>5.6890000000000001</c:v>
                </c:pt>
                <c:pt idx="4">
                  <c:v>5.4349999999999996</c:v>
                </c:pt>
                <c:pt idx="5">
                  <c:v>4.8440000000000003</c:v>
                </c:pt>
                <c:pt idx="6">
                  <c:v>5.0590000000000002</c:v>
                </c:pt>
                <c:pt idx="7">
                  <c:v>4.5629999999999997</c:v>
                </c:pt>
                <c:pt idx="8">
                  <c:v>4.4820000000000002</c:v>
                </c:pt>
              </c:numCache>
            </c:numRef>
          </c:val>
          <c:extLst>
            <c:ext xmlns:c16="http://schemas.microsoft.com/office/drawing/2014/chart" uri="{C3380CC4-5D6E-409C-BE32-E72D297353CC}">
              <c16:uniqueId val="{00000048-7294-4E67-8DCB-411E5D64A924}"/>
            </c:ext>
          </c:extLst>
        </c:ser>
        <c:ser>
          <c:idx val="9"/>
          <c:order val="9"/>
          <c:tx>
            <c:strRef>
              <c:f>Per_Capita_Pivot!$K$3:$K$4</c:f>
              <c:strCache>
                <c:ptCount val="1"/>
                <c:pt idx="0">
                  <c:v>United States</c:v>
                </c:pt>
              </c:strCache>
            </c:strRef>
          </c:tx>
          <c:spPr>
            <a:solidFill>
              <a:schemeClr val="accent2">
                <a:tint val="43000"/>
              </a:schemeClr>
            </a:solidFill>
            <a:ln>
              <a:noFill/>
            </a:ln>
            <a:effectLst/>
          </c:spPr>
          <c:invertIfNegative val="0"/>
          <c:cat>
            <c:strRef>
              <c:f>Per_Capita_Pivot!$A$5:$A$14</c:f>
              <c:strCache>
                <c:ptCount val="9"/>
                <c:pt idx="0">
                  <c:v>2015</c:v>
                </c:pt>
                <c:pt idx="1">
                  <c:v>2016</c:v>
                </c:pt>
                <c:pt idx="2">
                  <c:v>2017</c:v>
                </c:pt>
                <c:pt idx="3">
                  <c:v>2018</c:v>
                </c:pt>
                <c:pt idx="4">
                  <c:v>2019</c:v>
                </c:pt>
                <c:pt idx="5">
                  <c:v>2020</c:v>
                </c:pt>
                <c:pt idx="6">
                  <c:v>2021</c:v>
                </c:pt>
                <c:pt idx="7">
                  <c:v>2022</c:v>
                </c:pt>
                <c:pt idx="8">
                  <c:v>2023</c:v>
                </c:pt>
              </c:strCache>
            </c:strRef>
          </c:cat>
          <c:val>
            <c:numRef>
              <c:f>Per_Capita_Pivot!$K$5:$K$14</c:f>
              <c:numCache>
                <c:formatCode>0.00</c:formatCode>
                <c:ptCount val="9"/>
                <c:pt idx="0">
                  <c:v>16.460999999999999</c:v>
                </c:pt>
                <c:pt idx="1">
                  <c:v>15.935</c:v>
                </c:pt>
                <c:pt idx="2">
                  <c:v>15.638999999999999</c:v>
                </c:pt>
                <c:pt idx="3">
                  <c:v>16.001000000000001</c:v>
                </c:pt>
                <c:pt idx="4">
                  <c:v>15.5</c:v>
                </c:pt>
                <c:pt idx="5">
                  <c:v>13.817</c:v>
                </c:pt>
                <c:pt idx="6">
                  <c:v>14.757999999999999</c:v>
                </c:pt>
                <c:pt idx="7">
                  <c:v>14.802</c:v>
                </c:pt>
                <c:pt idx="8">
                  <c:v>14.319000000000001</c:v>
                </c:pt>
              </c:numCache>
            </c:numRef>
          </c:val>
          <c:extLst>
            <c:ext xmlns:c16="http://schemas.microsoft.com/office/drawing/2014/chart" uri="{C3380CC4-5D6E-409C-BE32-E72D297353CC}">
              <c16:uniqueId val="{00000049-7294-4E67-8DCB-411E5D64A924}"/>
            </c:ext>
          </c:extLst>
        </c:ser>
        <c:dLbls>
          <c:showLegendKey val="0"/>
          <c:showVal val="0"/>
          <c:showCatName val="0"/>
          <c:showSerName val="0"/>
          <c:showPercent val="0"/>
          <c:showBubbleSize val="0"/>
        </c:dLbls>
        <c:gapWidth val="219"/>
        <c:overlap val="-27"/>
        <c:axId val="1622226640"/>
        <c:axId val="1622227120"/>
      </c:barChart>
      <c:catAx>
        <c:axId val="162222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227120"/>
        <c:crosses val="autoZero"/>
        <c:auto val="1"/>
        <c:lblAlgn val="ctr"/>
        <c:lblOffset val="100"/>
        <c:noMultiLvlLbl val="0"/>
      </c:catAx>
      <c:valAx>
        <c:axId val="1622227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22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[Raw_Data.xlsx]Growth_%_Pivot!PivotTable8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Yearly CO2 Growth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'Growth_%_Pivot'!$B$3:$B$4</c:f>
              <c:strCache>
                <c:ptCount val="1"/>
                <c:pt idx="0">
                  <c:v>Brazil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'Growth_%_Pivot'!$B$5:$B$14</c:f>
              <c:numCache>
                <c:formatCode>0.00</c:formatCode>
                <c:ptCount val="9"/>
                <c:pt idx="0">
                  <c:v>-5.0940000000000003</c:v>
                </c:pt>
                <c:pt idx="1">
                  <c:v>-6.8970000000000002</c:v>
                </c:pt>
                <c:pt idx="2">
                  <c:v>1.1200000000000001</c:v>
                </c:pt>
                <c:pt idx="3">
                  <c:v>-4.1539999999999999</c:v>
                </c:pt>
                <c:pt idx="4">
                  <c:v>2.5999999999999999E-2</c:v>
                </c:pt>
                <c:pt idx="5">
                  <c:v>-6.0250000000000004</c:v>
                </c:pt>
                <c:pt idx="6">
                  <c:v>10.84</c:v>
                </c:pt>
                <c:pt idx="7">
                  <c:v>-3.3239999999999998</c:v>
                </c:pt>
                <c:pt idx="8">
                  <c:v>0.81899999999999995</c:v>
                </c:pt>
              </c:numCache>
            </c:numRef>
          </c:val>
          <c:smooth val="0"/>
          <c:extLst>
            <c:ext xmlns:c16="http://schemas.microsoft.com/office/drawing/2014/chart" uri="{C3380CC4-5D6E-409C-BE32-E72D297353CC}">
              <c16:uniqueId val="{00000000-7B03-410E-8C42-E9206A1DA29F}"/>
            </c:ext>
          </c:extLst>
        </c:ser>
        <c:ser>
          <c:idx val="1"/>
          <c:order val="1"/>
          <c:tx>
            <c:strRef>
              <c:f>'Growth_%_Pivot'!$C$3:$C$4</c:f>
              <c:strCache>
                <c:ptCount val="1"/>
                <c:pt idx="0">
                  <c:v>Canada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'Growth_%_Pivot'!$C$5:$C$14</c:f>
              <c:numCache>
                <c:formatCode>0.00</c:formatCode>
                <c:ptCount val="9"/>
                <c:pt idx="0">
                  <c:v>-0.34300000000000003</c:v>
                </c:pt>
                <c:pt idx="1">
                  <c:v>-1.651</c:v>
                </c:pt>
                <c:pt idx="2">
                  <c:v>2.339</c:v>
                </c:pt>
                <c:pt idx="3">
                  <c:v>1.488</c:v>
                </c:pt>
                <c:pt idx="4">
                  <c:v>0.68100000000000005</c:v>
                </c:pt>
                <c:pt idx="5">
                  <c:v>-9.4640000000000004</c:v>
                </c:pt>
                <c:pt idx="6">
                  <c:v>2.532</c:v>
                </c:pt>
                <c:pt idx="7">
                  <c:v>1.8939999999999999</c:v>
                </c:pt>
                <c:pt idx="8">
                  <c:v>-0.39800000000000002</c:v>
                </c:pt>
              </c:numCache>
            </c:numRef>
          </c:val>
          <c:smooth val="0"/>
          <c:extLst>
            <c:ext xmlns:c16="http://schemas.microsoft.com/office/drawing/2014/chart" uri="{C3380CC4-5D6E-409C-BE32-E72D297353CC}">
              <c16:uniqueId val="{00000026-7B03-410E-8C42-E9206A1DA29F}"/>
            </c:ext>
          </c:extLst>
        </c:ser>
        <c:ser>
          <c:idx val="2"/>
          <c:order val="2"/>
          <c:tx>
            <c:strRef>
              <c:f>'Growth_%_Pivot'!$D$3:$D$4</c:f>
              <c:strCache>
                <c:ptCount val="1"/>
                <c:pt idx="0">
                  <c:v>China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'Growth_%_Pivot'!$D$5:$D$14</c:f>
              <c:numCache>
                <c:formatCode>0.00</c:formatCode>
                <c:ptCount val="9"/>
                <c:pt idx="0">
                  <c:v>-1.1830000000000001</c:v>
                </c:pt>
                <c:pt idx="1">
                  <c:v>-1.1140000000000001</c:v>
                </c:pt>
                <c:pt idx="2">
                  <c:v>2.5830000000000002</c:v>
                </c:pt>
                <c:pt idx="3">
                  <c:v>3.468</c:v>
                </c:pt>
                <c:pt idx="4">
                  <c:v>3.544</c:v>
                </c:pt>
                <c:pt idx="5">
                  <c:v>1.708</c:v>
                </c:pt>
                <c:pt idx="6">
                  <c:v>3.56</c:v>
                </c:pt>
                <c:pt idx="7">
                  <c:v>3.7879999999999998</c:v>
                </c:pt>
                <c:pt idx="8">
                  <c:v>3.9289999999999998</c:v>
                </c:pt>
              </c:numCache>
            </c:numRef>
          </c:val>
          <c:smooth val="0"/>
          <c:extLst>
            <c:ext xmlns:c16="http://schemas.microsoft.com/office/drawing/2014/chart" uri="{C3380CC4-5D6E-409C-BE32-E72D297353CC}">
              <c16:uniqueId val="{00000027-7B03-410E-8C42-E9206A1DA29F}"/>
            </c:ext>
          </c:extLst>
        </c:ser>
        <c:ser>
          <c:idx val="3"/>
          <c:order val="3"/>
          <c:tx>
            <c:strRef>
              <c:f>'Growth_%_Pivot'!$E$3:$E$4</c:f>
              <c:strCache>
                <c:ptCount val="1"/>
                <c:pt idx="0">
                  <c:v>Germany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'Growth_%_Pivot'!$E$5:$E$14</c:f>
              <c:numCache>
                <c:formatCode>0.00</c:formatCode>
                <c:ptCount val="9"/>
                <c:pt idx="0">
                  <c:v>1.04</c:v>
                </c:pt>
                <c:pt idx="1">
                  <c:v>-0.35399999999999998</c:v>
                </c:pt>
                <c:pt idx="2">
                  <c:v>-1.6779999999999999</c:v>
                </c:pt>
                <c:pt idx="3">
                  <c:v>-3.2909999999999999</c:v>
                </c:pt>
                <c:pt idx="4">
                  <c:v>-6.6059999999999999</c:v>
                </c:pt>
                <c:pt idx="5">
                  <c:v>-8.6750000000000007</c:v>
                </c:pt>
                <c:pt idx="6">
                  <c:v>4.7619999999999996</c:v>
                </c:pt>
                <c:pt idx="7">
                  <c:v>-1.498</c:v>
                </c:pt>
                <c:pt idx="8">
                  <c:v>-11.092000000000001</c:v>
                </c:pt>
              </c:numCache>
            </c:numRef>
          </c:val>
          <c:smooth val="0"/>
          <c:extLst>
            <c:ext xmlns:c16="http://schemas.microsoft.com/office/drawing/2014/chart" uri="{C3380CC4-5D6E-409C-BE32-E72D297353CC}">
              <c16:uniqueId val="{00000028-7B03-410E-8C42-E9206A1DA29F}"/>
            </c:ext>
          </c:extLst>
        </c:ser>
        <c:ser>
          <c:idx val="4"/>
          <c:order val="4"/>
          <c:tx>
            <c:strRef>
              <c:f>'Growth_%_Pivot'!$F$3:$F$4</c:f>
              <c:strCache>
                <c:ptCount val="1"/>
                <c:pt idx="0">
                  <c:v>India</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'Growth_%_Pivot'!$F$5:$F$14</c:f>
              <c:numCache>
                <c:formatCode>0.00</c:formatCode>
                <c:ptCount val="9"/>
                <c:pt idx="0">
                  <c:v>3.9</c:v>
                </c:pt>
                <c:pt idx="1">
                  <c:v>5.4089999999999998</c:v>
                </c:pt>
                <c:pt idx="2">
                  <c:v>3.1110000000000002</c:v>
                </c:pt>
                <c:pt idx="3">
                  <c:v>6.9880000000000004</c:v>
                </c:pt>
                <c:pt idx="4">
                  <c:v>0.61499999999999999</c:v>
                </c:pt>
                <c:pt idx="5">
                  <c:v>-7.2169999999999996</c:v>
                </c:pt>
                <c:pt idx="6">
                  <c:v>10.445</c:v>
                </c:pt>
                <c:pt idx="7">
                  <c:v>5.806</c:v>
                </c:pt>
                <c:pt idx="8">
                  <c:v>8.1809999999999992</c:v>
                </c:pt>
              </c:numCache>
            </c:numRef>
          </c:val>
          <c:smooth val="0"/>
          <c:extLst>
            <c:ext xmlns:c16="http://schemas.microsoft.com/office/drawing/2014/chart" uri="{C3380CC4-5D6E-409C-BE32-E72D297353CC}">
              <c16:uniqueId val="{00000029-7B03-410E-8C42-E9206A1DA29F}"/>
            </c:ext>
          </c:extLst>
        </c:ser>
        <c:ser>
          <c:idx val="5"/>
          <c:order val="5"/>
          <c:tx>
            <c:strRef>
              <c:f>'Growth_%_Pivot'!$G$3:$G$4</c:f>
              <c:strCache>
                <c:ptCount val="1"/>
                <c:pt idx="0">
                  <c:v>Indonesia</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'Growth_%_Pivot'!$G$5:$G$14</c:f>
              <c:numCache>
                <c:formatCode>0.00</c:formatCode>
                <c:ptCount val="9"/>
                <c:pt idx="0">
                  <c:v>10.667999999999999</c:v>
                </c:pt>
                <c:pt idx="1">
                  <c:v>-0.57899999999999996</c:v>
                </c:pt>
                <c:pt idx="2">
                  <c:v>4.1900000000000004</c:v>
                </c:pt>
                <c:pt idx="3">
                  <c:v>6.3840000000000003</c:v>
                </c:pt>
                <c:pt idx="4">
                  <c:v>9.4949999999999992</c:v>
                </c:pt>
                <c:pt idx="5">
                  <c:v>-6.2770000000000001</c:v>
                </c:pt>
                <c:pt idx="6">
                  <c:v>1.5469999999999999</c:v>
                </c:pt>
                <c:pt idx="7">
                  <c:v>19.760999999999999</c:v>
                </c:pt>
                <c:pt idx="8">
                  <c:v>0.57199999999999995</c:v>
                </c:pt>
              </c:numCache>
            </c:numRef>
          </c:val>
          <c:smooth val="0"/>
          <c:extLst>
            <c:ext xmlns:c16="http://schemas.microsoft.com/office/drawing/2014/chart" uri="{C3380CC4-5D6E-409C-BE32-E72D297353CC}">
              <c16:uniqueId val="{0000002A-7B03-410E-8C42-E9206A1DA29F}"/>
            </c:ext>
          </c:extLst>
        </c:ser>
        <c:ser>
          <c:idx val="6"/>
          <c:order val="6"/>
          <c:tx>
            <c:strRef>
              <c:f>'Growth_%_Pivot'!$H$3:$H$4</c:f>
              <c:strCache>
                <c:ptCount val="1"/>
                <c:pt idx="0">
                  <c:v>Japan</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'Growth_%_Pivot'!$H$5:$H$14</c:f>
              <c:numCache>
                <c:formatCode>0.00</c:formatCode>
                <c:ptCount val="9"/>
                <c:pt idx="0">
                  <c:v>-3.1970000000000001</c:v>
                </c:pt>
                <c:pt idx="1">
                  <c:v>-1.643</c:v>
                </c:pt>
                <c:pt idx="2">
                  <c:v>-1.2949999999999999</c:v>
                </c:pt>
                <c:pt idx="3">
                  <c:v>-3.871</c:v>
                </c:pt>
                <c:pt idx="4">
                  <c:v>-3.2050000000000001</c:v>
                </c:pt>
                <c:pt idx="5">
                  <c:v>-5.8780000000000001</c:v>
                </c:pt>
                <c:pt idx="6">
                  <c:v>2.0449999999999999</c:v>
                </c:pt>
                <c:pt idx="7">
                  <c:v>-2.726</c:v>
                </c:pt>
                <c:pt idx="8">
                  <c:v>-4.1500000000000004</c:v>
                </c:pt>
              </c:numCache>
            </c:numRef>
          </c:val>
          <c:smooth val="0"/>
          <c:extLst>
            <c:ext xmlns:c16="http://schemas.microsoft.com/office/drawing/2014/chart" uri="{C3380CC4-5D6E-409C-BE32-E72D297353CC}">
              <c16:uniqueId val="{0000002B-7B03-410E-8C42-E9206A1DA29F}"/>
            </c:ext>
          </c:extLst>
        </c:ser>
        <c:ser>
          <c:idx val="7"/>
          <c:order val="7"/>
          <c:tx>
            <c:strRef>
              <c:f>'Growth_%_Pivot'!$I$3:$I$4</c:f>
              <c:strCache>
                <c:ptCount val="1"/>
                <c:pt idx="0">
                  <c:v>Russia</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'Growth_%_Pivot'!$I$5:$I$14</c:f>
              <c:numCache>
                <c:formatCode>0.00</c:formatCode>
                <c:ptCount val="9"/>
                <c:pt idx="0">
                  <c:v>-0.126</c:v>
                </c:pt>
                <c:pt idx="1">
                  <c:v>-0.36199999999999999</c:v>
                </c:pt>
                <c:pt idx="2">
                  <c:v>1.9450000000000001</c:v>
                </c:pt>
                <c:pt idx="3">
                  <c:v>2.944</c:v>
                </c:pt>
                <c:pt idx="4">
                  <c:v>-0.31900000000000001</c:v>
                </c:pt>
                <c:pt idx="5">
                  <c:v>-4.2569999999999997</c:v>
                </c:pt>
                <c:pt idx="6">
                  <c:v>2.6120000000000001</c:v>
                </c:pt>
                <c:pt idx="7">
                  <c:v>5.6000000000000001E-2</c:v>
                </c:pt>
                <c:pt idx="8">
                  <c:v>3.4420000000000002</c:v>
                </c:pt>
              </c:numCache>
            </c:numRef>
          </c:val>
          <c:smooth val="0"/>
          <c:extLst>
            <c:ext xmlns:c16="http://schemas.microsoft.com/office/drawing/2014/chart" uri="{C3380CC4-5D6E-409C-BE32-E72D297353CC}">
              <c16:uniqueId val="{0000002C-7B03-410E-8C42-E9206A1DA29F}"/>
            </c:ext>
          </c:extLst>
        </c:ser>
        <c:ser>
          <c:idx val="8"/>
          <c:order val="8"/>
          <c:tx>
            <c:strRef>
              <c:f>'Growth_%_Pivot'!$J$3:$J$4</c:f>
              <c:strCache>
                <c:ptCount val="1"/>
                <c:pt idx="0">
                  <c:v>United Kingdom</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'Growth_%_Pivot'!$J$5:$J$14</c:f>
              <c:numCache>
                <c:formatCode>0.00</c:formatCode>
                <c:ptCount val="9"/>
                <c:pt idx="0">
                  <c:v>-3.7250000000000001</c:v>
                </c:pt>
                <c:pt idx="1">
                  <c:v>-5.452</c:v>
                </c:pt>
                <c:pt idx="2">
                  <c:v>-3.02</c:v>
                </c:pt>
                <c:pt idx="3">
                  <c:v>-1.972</c:v>
                </c:pt>
                <c:pt idx="4">
                  <c:v>-3.944</c:v>
                </c:pt>
                <c:pt idx="5">
                  <c:v>-10.552</c:v>
                </c:pt>
                <c:pt idx="6">
                  <c:v>4.9349999999999996</c:v>
                </c:pt>
                <c:pt idx="7">
                  <c:v>-9.1270000000000007</c:v>
                </c:pt>
                <c:pt idx="8">
                  <c:v>-1.0580000000000001</c:v>
                </c:pt>
              </c:numCache>
            </c:numRef>
          </c:val>
          <c:smooth val="0"/>
          <c:extLst>
            <c:ext xmlns:c16="http://schemas.microsoft.com/office/drawing/2014/chart" uri="{C3380CC4-5D6E-409C-BE32-E72D297353CC}">
              <c16:uniqueId val="{0000002D-7B03-410E-8C42-E9206A1DA29F}"/>
            </c:ext>
          </c:extLst>
        </c:ser>
        <c:ser>
          <c:idx val="9"/>
          <c:order val="9"/>
          <c:tx>
            <c:strRef>
              <c:f>'Growth_%_Pivot'!$K$3:$K$4</c:f>
              <c:strCache>
                <c:ptCount val="1"/>
                <c:pt idx="0">
                  <c:v>United States</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'Growth_%_Pivot'!$A$5:$A$14</c:f>
              <c:strCache>
                <c:ptCount val="9"/>
                <c:pt idx="0">
                  <c:v>2015</c:v>
                </c:pt>
                <c:pt idx="1">
                  <c:v>2016</c:v>
                </c:pt>
                <c:pt idx="2">
                  <c:v>2017</c:v>
                </c:pt>
                <c:pt idx="3">
                  <c:v>2018</c:v>
                </c:pt>
                <c:pt idx="4">
                  <c:v>2019</c:v>
                </c:pt>
                <c:pt idx="5">
                  <c:v>2020</c:v>
                </c:pt>
                <c:pt idx="6">
                  <c:v>2021</c:v>
                </c:pt>
                <c:pt idx="7">
                  <c:v>2022</c:v>
                </c:pt>
                <c:pt idx="8">
                  <c:v>2023</c:v>
                </c:pt>
              </c:strCache>
            </c:strRef>
          </c:cat>
          <c:val>
            <c:numRef>
              <c:f>'Growth_%_Pivot'!$K$5:$K$14</c:f>
              <c:numCache>
                <c:formatCode>0.00</c:formatCode>
                <c:ptCount val="9"/>
                <c:pt idx="0">
                  <c:v>-2.9449999999999998</c:v>
                </c:pt>
                <c:pt idx="1">
                  <c:v>-2.294</c:v>
                </c:pt>
                <c:pt idx="2">
                  <c:v>-0.95199999999999996</c:v>
                </c:pt>
                <c:pt idx="3">
                  <c:v>3.1920000000000002</c:v>
                </c:pt>
                <c:pt idx="4">
                  <c:v>-2.3380000000000001</c:v>
                </c:pt>
                <c:pt idx="5">
                  <c:v>-10.427</c:v>
                </c:pt>
                <c:pt idx="6">
                  <c:v>7.04</c:v>
                </c:pt>
                <c:pt idx="7">
                  <c:v>0.70299999999999996</c:v>
                </c:pt>
                <c:pt idx="8">
                  <c:v>-2.71</c:v>
                </c:pt>
              </c:numCache>
            </c:numRef>
          </c:val>
          <c:smooth val="0"/>
          <c:extLst>
            <c:ext xmlns:c16="http://schemas.microsoft.com/office/drawing/2014/chart" uri="{C3380CC4-5D6E-409C-BE32-E72D297353CC}">
              <c16:uniqueId val="{0000002E-7B03-410E-8C42-E9206A1DA29F}"/>
            </c:ext>
          </c:extLst>
        </c:ser>
        <c:dLbls>
          <c:showLegendKey val="0"/>
          <c:showVal val="0"/>
          <c:showCatName val="0"/>
          <c:showSerName val="0"/>
          <c:showPercent val="0"/>
          <c:showBubbleSize val="0"/>
        </c:dLbls>
        <c:marker val="1"/>
        <c:smooth val="0"/>
        <c:axId val="1649833312"/>
        <c:axId val="1649832832"/>
      </c:lineChart>
      <c:catAx>
        <c:axId val="164983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832832"/>
        <c:crosses val="autoZero"/>
        <c:auto val="1"/>
        <c:lblAlgn val="ctr"/>
        <c:lblOffset val="100"/>
        <c:noMultiLvlLbl val="0"/>
      </c:catAx>
      <c:valAx>
        <c:axId val="1649832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83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[Raw_Data.xlsx]Global_Share_Pivot!PivotTable7</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 </a:t>
            </a:r>
            <a:r>
              <a:rPr lang="en-US">
                <a:effectLst/>
              </a:rPr>
              <a:t>Country CO2 Share of Global Total</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Global_Share_Pivot!$B$3:$B$4</c:f>
              <c:strCache>
                <c:ptCount val="1"/>
                <c:pt idx="0">
                  <c:v>Brazil</c:v>
                </c:pt>
              </c:strCache>
            </c:strRef>
          </c:tx>
          <c:spPr>
            <a:solidFill>
              <a:schemeClr val="accent6">
                <a:tint val="43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Global_Share_Pivot!$B$5:$B$14</c:f>
              <c:numCache>
                <c:formatCode>0.00</c:formatCode>
                <c:ptCount val="9"/>
                <c:pt idx="0">
                  <c:v>1.492</c:v>
                </c:pt>
                <c:pt idx="1">
                  <c:v>1.389</c:v>
                </c:pt>
                <c:pt idx="2">
                  <c:v>1.3819999999999999</c:v>
                </c:pt>
                <c:pt idx="3">
                  <c:v>1.2969999999999999</c:v>
                </c:pt>
                <c:pt idx="4">
                  <c:v>1.2849999999999999</c:v>
                </c:pt>
                <c:pt idx="5">
                  <c:v>1.274</c:v>
                </c:pt>
                <c:pt idx="6">
                  <c:v>1.347</c:v>
                </c:pt>
                <c:pt idx="7">
                  <c:v>1.2789999999999999</c:v>
                </c:pt>
                <c:pt idx="8">
                  <c:v>1.2709999999999999</c:v>
                </c:pt>
              </c:numCache>
            </c:numRef>
          </c:val>
          <c:extLst>
            <c:ext xmlns:c16="http://schemas.microsoft.com/office/drawing/2014/chart" uri="{C3380CC4-5D6E-409C-BE32-E72D297353CC}">
              <c16:uniqueId val="{00000000-6241-40B6-AFA4-EBC25808F7A8}"/>
            </c:ext>
          </c:extLst>
        </c:ser>
        <c:ser>
          <c:idx val="1"/>
          <c:order val="1"/>
          <c:tx>
            <c:strRef>
              <c:f>Global_Share_Pivot!$C$3:$C$4</c:f>
              <c:strCache>
                <c:ptCount val="1"/>
                <c:pt idx="0">
                  <c:v>Canada</c:v>
                </c:pt>
              </c:strCache>
            </c:strRef>
          </c:tx>
          <c:spPr>
            <a:solidFill>
              <a:schemeClr val="accent6">
                <a:tint val="56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Global_Share_Pivot!$C$5:$C$14</c:f>
              <c:numCache>
                <c:formatCode>0.00</c:formatCode>
                <c:ptCount val="9"/>
                <c:pt idx="0">
                  <c:v>1.59</c:v>
                </c:pt>
                <c:pt idx="1">
                  <c:v>1.5640000000000001</c:v>
                </c:pt>
                <c:pt idx="2">
                  <c:v>1.575</c:v>
                </c:pt>
                <c:pt idx="3">
                  <c:v>1.5660000000000001</c:v>
                </c:pt>
                <c:pt idx="4">
                  <c:v>1.5609999999999999</c:v>
                </c:pt>
                <c:pt idx="5">
                  <c:v>1.4910000000000001</c:v>
                </c:pt>
                <c:pt idx="6">
                  <c:v>1.458</c:v>
                </c:pt>
                <c:pt idx="7">
                  <c:v>1.4590000000000001</c:v>
                </c:pt>
                <c:pt idx="8">
                  <c:v>1.4319999999999999</c:v>
                </c:pt>
              </c:numCache>
            </c:numRef>
          </c:val>
          <c:extLst>
            <c:ext xmlns:c16="http://schemas.microsoft.com/office/drawing/2014/chart" uri="{C3380CC4-5D6E-409C-BE32-E72D297353CC}">
              <c16:uniqueId val="{0000001D-6241-40B6-AFA4-EBC25808F7A8}"/>
            </c:ext>
          </c:extLst>
        </c:ser>
        <c:ser>
          <c:idx val="2"/>
          <c:order val="2"/>
          <c:tx>
            <c:strRef>
              <c:f>Global_Share_Pivot!$D$3:$D$4</c:f>
              <c:strCache>
                <c:ptCount val="1"/>
                <c:pt idx="0">
                  <c:v>China</c:v>
                </c:pt>
              </c:strCache>
            </c:strRef>
          </c:tx>
          <c:spPr>
            <a:solidFill>
              <a:schemeClr val="accent6">
                <a:tint val="69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Global_Share_Pivot!$D$5:$D$14</c:f>
              <c:numCache>
                <c:formatCode>0.00</c:formatCode>
                <c:ptCount val="9"/>
                <c:pt idx="0">
                  <c:v>27.844999999999999</c:v>
                </c:pt>
                <c:pt idx="1">
                  <c:v>27.542999999999999</c:v>
                </c:pt>
                <c:pt idx="2">
                  <c:v>27.797000000000001</c:v>
                </c:pt>
                <c:pt idx="3">
                  <c:v>28.167000000000002</c:v>
                </c:pt>
                <c:pt idx="4">
                  <c:v>28.888000000000002</c:v>
                </c:pt>
                <c:pt idx="5">
                  <c:v>30.992999999999999</c:v>
                </c:pt>
                <c:pt idx="6">
                  <c:v>30.609000000000002</c:v>
                </c:pt>
                <c:pt idx="7">
                  <c:v>31.207999999999998</c:v>
                </c:pt>
                <c:pt idx="8">
                  <c:v>31.952999999999999</c:v>
                </c:pt>
              </c:numCache>
            </c:numRef>
          </c:val>
          <c:extLst>
            <c:ext xmlns:c16="http://schemas.microsoft.com/office/drawing/2014/chart" uri="{C3380CC4-5D6E-409C-BE32-E72D297353CC}">
              <c16:uniqueId val="{0000001E-6241-40B6-AFA4-EBC25808F7A8}"/>
            </c:ext>
          </c:extLst>
        </c:ser>
        <c:ser>
          <c:idx val="3"/>
          <c:order val="3"/>
          <c:tx>
            <c:strRef>
              <c:f>Global_Share_Pivot!$E$3:$E$4</c:f>
              <c:strCache>
                <c:ptCount val="1"/>
                <c:pt idx="0">
                  <c:v>Germany</c:v>
                </c:pt>
              </c:strCache>
            </c:strRef>
          </c:tx>
          <c:spPr>
            <a:solidFill>
              <a:schemeClr val="accent6">
                <a:tint val="81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Global_Share_Pivot!$E$5:$E$14</c:f>
              <c:numCache>
                <c:formatCode>0.00</c:formatCode>
                <c:ptCount val="9"/>
                <c:pt idx="0">
                  <c:v>2.262</c:v>
                </c:pt>
                <c:pt idx="1">
                  <c:v>2.2549999999999999</c:v>
                </c:pt>
                <c:pt idx="2">
                  <c:v>2.181</c:v>
                </c:pt>
                <c:pt idx="3">
                  <c:v>2.0659999999999998</c:v>
                </c:pt>
                <c:pt idx="4">
                  <c:v>1.911</c:v>
                </c:pt>
                <c:pt idx="5">
                  <c:v>1.841</c:v>
                </c:pt>
                <c:pt idx="6">
                  <c:v>1.839</c:v>
                </c:pt>
                <c:pt idx="7">
                  <c:v>1.78</c:v>
                </c:pt>
                <c:pt idx="8">
                  <c:v>1.5589999999999999</c:v>
                </c:pt>
              </c:numCache>
            </c:numRef>
          </c:val>
          <c:extLst>
            <c:ext xmlns:c16="http://schemas.microsoft.com/office/drawing/2014/chart" uri="{C3380CC4-5D6E-409C-BE32-E72D297353CC}">
              <c16:uniqueId val="{0000001F-6241-40B6-AFA4-EBC25808F7A8}"/>
            </c:ext>
          </c:extLst>
        </c:ser>
        <c:ser>
          <c:idx val="4"/>
          <c:order val="4"/>
          <c:tx>
            <c:strRef>
              <c:f>Global_Share_Pivot!$F$3:$F$4</c:f>
              <c:strCache>
                <c:ptCount val="1"/>
                <c:pt idx="0">
                  <c:v>India</c:v>
                </c:pt>
              </c:strCache>
            </c:strRef>
          </c:tx>
          <c:spPr>
            <a:solidFill>
              <a:schemeClr val="accent6">
                <a:tint val="94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Global_Share_Pivot!$F$5:$F$14</c:f>
              <c:numCache>
                <c:formatCode>0.00</c:formatCode>
                <c:ptCount val="9"/>
                <c:pt idx="0">
                  <c:v>6.3040000000000003</c:v>
                </c:pt>
                <c:pt idx="1">
                  <c:v>6.6470000000000002</c:v>
                </c:pt>
                <c:pt idx="2">
                  <c:v>6.7430000000000003</c:v>
                </c:pt>
                <c:pt idx="3">
                  <c:v>7.0650000000000004</c:v>
                </c:pt>
                <c:pt idx="4">
                  <c:v>7.0410000000000004</c:v>
                </c:pt>
                <c:pt idx="5">
                  <c:v>6.891</c:v>
                </c:pt>
                <c:pt idx="6">
                  <c:v>7.258</c:v>
                </c:pt>
                <c:pt idx="7">
                  <c:v>7.5439999999999996</c:v>
                </c:pt>
                <c:pt idx="8">
                  <c:v>8.0399999999999991</c:v>
                </c:pt>
              </c:numCache>
            </c:numRef>
          </c:val>
          <c:extLst>
            <c:ext xmlns:c16="http://schemas.microsoft.com/office/drawing/2014/chart" uri="{C3380CC4-5D6E-409C-BE32-E72D297353CC}">
              <c16:uniqueId val="{00000020-6241-40B6-AFA4-EBC25808F7A8}"/>
            </c:ext>
          </c:extLst>
        </c:ser>
        <c:ser>
          <c:idx val="5"/>
          <c:order val="5"/>
          <c:tx>
            <c:strRef>
              <c:f>Global_Share_Pivot!$G$3:$G$4</c:f>
              <c:strCache>
                <c:ptCount val="1"/>
                <c:pt idx="0">
                  <c:v>Indonesia</c:v>
                </c:pt>
              </c:strCache>
            </c:strRef>
          </c:tx>
          <c:spPr>
            <a:solidFill>
              <a:schemeClr val="accent6">
                <a:shade val="93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Global_Share_Pivot!$G$5:$G$14</c:f>
              <c:numCache>
                <c:formatCode>0.00</c:formatCode>
                <c:ptCount val="9"/>
                <c:pt idx="0">
                  <c:v>1.5569999999999999</c:v>
                </c:pt>
                <c:pt idx="1">
                  <c:v>1.548</c:v>
                </c:pt>
                <c:pt idx="2">
                  <c:v>1.587</c:v>
                </c:pt>
                <c:pt idx="3">
                  <c:v>1.653</c:v>
                </c:pt>
                <c:pt idx="4">
                  <c:v>1.7929999999999999</c:v>
                </c:pt>
                <c:pt idx="5">
                  <c:v>1.7729999999999999</c:v>
                </c:pt>
                <c:pt idx="6">
                  <c:v>1.7170000000000001</c:v>
                </c:pt>
                <c:pt idx="7">
                  <c:v>2.02</c:v>
                </c:pt>
                <c:pt idx="8">
                  <c:v>2.0009999999999999</c:v>
                </c:pt>
              </c:numCache>
            </c:numRef>
          </c:val>
          <c:extLst>
            <c:ext xmlns:c16="http://schemas.microsoft.com/office/drawing/2014/chart" uri="{C3380CC4-5D6E-409C-BE32-E72D297353CC}">
              <c16:uniqueId val="{00000021-6241-40B6-AFA4-EBC25808F7A8}"/>
            </c:ext>
          </c:extLst>
        </c:ser>
        <c:ser>
          <c:idx val="6"/>
          <c:order val="6"/>
          <c:tx>
            <c:strRef>
              <c:f>Global_Share_Pivot!$H$3:$H$4</c:f>
              <c:strCache>
                <c:ptCount val="1"/>
                <c:pt idx="0">
                  <c:v>Japan</c:v>
                </c:pt>
              </c:strCache>
            </c:strRef>
          </c:tx>
          <c:spPr>
            <a:solidFill>
              <a:schemeClr val="accent6">
                <a:shade val="80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Global_Share_Pivot!$H$5:$H$14</c:f>
              <c:numCache>
                <c:formatCode>0.00</c:formatCode>
                <c:ptCount val="9"/>
                <c:pt idx="0">
                  <c:v>3.4460000000000002</c:v>
                </c:pt>
                <c:pt idx="1">
                  <c:v>3.39</c:v>
                </c:pt>
                <c:pt idx="2">
                  <c:v>3.2919999999999998</c:v>
                </c:pt>
                <c:pt idx="3">
                  <c:v>3.0990000000000002</c:v>
                </c:pt>
                <c:pt idx="4">
                  <c:v>2.972</c:v>
                </c:pt>
                <c:pt idx="5">
                  <c:v>2.95</c:v>
                </c:pt>
                <c:pt idx="6">
                  <c:v>2.871</c:v>
                </c:pt>
                <c:pt idx="7">
                  <c:v>2.7440000000000002</c:v>
                </c:pt>
                <c:pt idx="8">
                  <c:v>2.5910000000000002</c:v>
                </c:pt>
              </c:numCache>
            </c:numRef>
          </c:val>
          <c:extLst>
            <c:ext xmlns:c16="http://schemas.microsoft.com/office/drawing/2014/chart" uri="{C3380CC4-5D6E-409C-BE32-E72D297353CC}">
              <c16:uniqueId val="{00000022-6241-40B6-AFA4-EBC25808F7A8}"/>
            </c:ext>
          </c:extLst>
        </c:ser>
        <c:ser>
          <c:idx val="7"/>
          <c:order val="7"/>
          <c:tx>
            <c:strRef>
              <c:f>Global_Share_Pivot!$I$3:$I$4</c:f>
              <c:strCache>
                <c:ptCount val="1"/>
                <c:pt idx="0">
                  <c:v>Russia</c:v>
                </c:pt>
              </c:strCache>
            </c:strRef>
          </c:tx>
          <c:spPr>
            <a:solidFill>
              <a:schemeClr val="accent6">
                <a:shade val="68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Global_Share_Pivot!$I$5:$I$14</c:f>
              <c:numCache>
                <c:formatCode>0.00</c:formatCode>
                <c:ptCount val="9"/>
                <c:pt idx="0">
                  <c:v>4.6189999999999998</c:v>
                </c:pt>
                <c:pt idx="1">
                  <c:v>4.6040000000000001</c:v>
                </c:pt>
                <c:pt idx="2">
                  <c:v>4.617</c:v>
                </c:pt>
                <c:pt idx="3">
                  <c:v>4.6550000000000002</c:v>
                </c:pt>
                <c:pt idx="4">
                  <c:v>4.5960000000000001</c:v>
                </c:pt>
                <c:pt idx="5">
                  <c:v>4.6420000000000003</c:v>
                </c:pt>
                <c:pt idx="6">
                  <c:v>4.5419999999999998</c:v>
                </c:pt>
                <c:pt idx="7">
                  <c:v>4.4649999999999999</c:v>
                </c:pt>
                <c:pt idx="8">
                  <c:v>4.55</c:v>
                </c:pt>
              </c:numCache>
            </c:numRef>
          </c:val>
          <c:extLst>
            <c:ext xmlns:c16="http://schemas.microsoft.com/office/drawing/2014/chart" uri="{C3380CC4-5D6E-409C-BE32-E72D297353CC}">
              <c16:uniqueId val="{00000023-6241-40B6-AFA4-EBC25808F7A8}"/>
            </c:ext>
          </c:extLst>
        </c:ser>
        <c:ser>
          <c:idx val="8"/>
          <c:order val="8"/>
          <c:tx>
            <c:strRef>
              <c:f>Global_Share_Pivot!$J$3:$J$4</c:f>
              <c:strCache>
                <c:ptCount val="1"/>
                <c:pt idx="0">
                  <c:v>United Kingdom</c:v>
                </c:pt>
              </c:strCache>
            </c:strRef>
          </c:tx>
          <c:spPr>
            <a:solidFill>
              <a:schemeClr val="accent6">
                <a:shade val="55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Global_Share_Pivot!$J$5:$J$14</c:f>
              <c:numCache>
                <c:formatCode>0.00</c:formatCode>
                <c:ptCount val="9"/>
                <c:pt idx="0">
                  <c:v>1.1930000000000001</c:v>
                </c:pt>
                <c:pt idx="1">
                  <c:v>1.129</c:v>
                </c:pt>
                <c:pt idx="2">
                  <c:v>1.077</c:v>
                </c:pt>
                <c:pt idx="3">
                  <c:v>1.034</c:v>
                </c:pt>
                <c:pt idx="4">
                  <c:v>0.98399999999999999</c:v>
                </c:pt>
                <c:pt idx="5">
                  <c:v>0.92800000000000005</c:v>
                </c:pt>
                <c:pt idx="6">
                  <c:v>0.92900000000000005</c:v>
                </c:pt>
                <c:pt idx="7">
                  <c:v>0.82899999999999996</c:v>
                </c:pt>
                <c:pt idx="8">
                  <c:v>0.80800000000000005</c:v>
                </c:pt>
              </c:numCache>
            </c:numRef>
          </c:val>
          <c:extLst>
            <c:ext xmlns:c16="http://schemas.microsoft.com/office/drawing/2014/chart" uri="{C3380CC4-5D6E-409C-BE32-E72D297353CC}">
              <c16:uniqueId val="{00000024-6241-40B6-AFA4-EBC25808F7A8}"/>
            </c:ext>
          </c:extLst>
        </c:ser>
        <c:ser>
          <c:idx val="9"/>
          <c:order val="9"/>
          <c:tx>
            <c:strRef>
              <c:f>Global_Share_Pivot!$K$3:$K$4</c:f>
              <c:strCache>
                <c:ptCount val="1"/>
                <c:pt idx="0">
                  <c:v>United States</c:v>
                </c:pt>
              </c:strCache>
            </c:strRef>
          </c:tx>
          <c:spPr>
            <a:solidFill>
              <a:schemeClr val="accent6">
                <a:shade val="42000"/>
              </a:schemeClr>
            </a:solidFill>
            <a:ln>
              <a:noFill/>
            </a:ln>
            <a:effectLst/>
          </c:spPr>
          <c:invertIfNegative val="0"/>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Global_Share_Pivot!$K$5:$K$14</c:f>
              <c:numCache>
                <c:formatCode>0.00</c:formatCode>
                <c:ptCount val="9"/>
                <c:pt idx="0">
                  <c:v>15.164</c:v>
                </c:pt>
                <c:pt idx="1">
                  <c:v>14.82</c:v>
                </c:pt>
                <c:pt idx="2">
                  <c:v>14.442</c:v>
                </c:pt>
                <c:pt idx="3">
                  <c:v>14.595000000000001</c:v>
                </c:pt>
                <c:pt idx="4">
                  <c:v>14.118</c:v>
                </c:pt>
                <c:pt idx="5">
                  <c:v>13.34</c:v>
                </c:pt>
                <c:pt idx="6">
                  <c:v>13.617000000000001</c:v>
                </c:pt>
                <c:pt idx="7">
                  <c:v>13.471</c:v>
                </c:pt>
                <c:pt idx="8">
                  <c:v>12.911</c:v>
                </c:pt>
              </c:numCache>
            </c:numRef>
          </c:val>
          <c:extLst>
            <c:ext xmlns:c16="http://schemas.microsoft.com/office/drawing/2014/chart" uri="{C3380CC4-5D6E-409C-BE32-E72D297353CC}">
              <c16:uniqueId val="{00000025-6241-40B6-AFA4-EBC25808F7A8}"/>
            </c:ext>
          </c:extLst>
        </c:ser>
        <c:dLbls>
          <c:showLegendKey val="0"/>
          <c:showVal val="0"/>
          <c:showCatName val="0"/>
          <c:showSerName val="0"/>
          <c:showPercent val="0"/>
          <c:showBubbleSize val="0"/>
        </c:dLbls>
        <c:gapWidth val="150"/>
        <c:overlap val="100"/>
        <c:axId val="1733241840"/>
        <c:axId val="1733244240"/>
      </c:barChart>
      <c:catAx>
        <c:axId val="173324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244240"/>
        <c:crosses val="autoZero"/>
        <c:auto val="1"/>
        <c:lblAlgn val="ctr"/>
        <c:lblOffset val="100"/>
        <c:noMultiLvlLbl val="0"/>
      </c:catAx>
      <c:valAx>
        <c:axId val="17332442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24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[Raw_Data.xlsx]Global_Share_Pivot!PivotTable7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Global_Share_Pivot!$B$3:$B$4</c:f>
              <c:strCache>
                <c:ptCount val="1"/>
                <c:pt idx="0">
                  <c:v>Brazil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Global_Share_Pivot!$B$5:$B$14</c:f>
              <c:numCache>
                <c:formatCode>0.00</c:formatCode>
                <c:ptCount val="9"/>
                <c:pt idx="0">
                  <c:v>1.492</c:v>
                </c:pt>
                <c:pt idx="1">
                  <c:v>1.389</c:v>
                </c:pt>
                <c:pt idx="2">
                  <c:v>1.3819999999999999</c:v>
                </c:pt>
                <c:pt idx="3">
                  <c:v>1.2969999999999999</c:v>
                </c:pt>
                <c:pt idx="4">
                  <c:v>1.2849999999999999</c:v>
                </c:pt>
                <c:pt idx="5">
                  <c:v>1.274</c:v>
                </c:pt>
                <c:pt idx="6">
                  <c:v>1.347</c:v>
                </c:pt>
                <c:pt idx="7">
                  <c:v>1.2789999999999999</c:v>
                </c:pt>
                <c:pt idx="8">
                  <c:v>1.2709999999999999</c:v>
                </c:pt>
              </c:numCache>
            </c:numRef>
          </c:val>
          <c:extLst>
            <c:ext xmlns:c16="http://schemas.microsoft.com/office/drawing/2014/chart" uri="{C3380CC4-5D6E-409C-BE32-E72D297353CC}">
              <c16:uniqueId val="{00000000-0ED5-4A55-9CF9-AA9079A35FDC}"/>
            </c:ext>
          </c:extLst>
        </c:ser>
        <c:ser>
          <c:idx val="1"/>
          <c:order val="1"/>
          <c:tx>
            <c:strRef>
              <c:f>Global_Share_Pivot!$C$3:$C$4</c:f>
              <c:strCache>
                <c:ptCount val="1"/>
                <c:pt idx="0">
                  <c:v>Canada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Global_Share_Pivot!$C$5:$C$14</c:f>
              <c:numCache>
                <c:formatCode>0.00</c:formatCode>
                <c:ptCount val="9"/>
                <c:pt idx="0">
                  <c:v>1.59</c:v>
                </c:pt>
                <c:pt idx="1">
                  <c:v>1.5640000000000001</c:v>
                </c:pt>
                <c:pt idx="2">
                  <c:v>1.575</c:v>
                </c:pt>
                <c:pt idx="3">
                  <c:v>1.5660000000000001</c:v>
                </c:pt>
                <c:pt idx="4">
                  <c:v>1.5609999999999999</c:v>
                </c:pt>
                <c:pt idx="5">
                  <c:v>1.4910000000000001</c:v>
                </c:pt>
                <c:pt idx="6">
                  <c:v>1.458</c:v>
                </c:pt>
                <c:pt idx="7">
                  <c:v>1.4590000000000001</c:v>
                </c:pt>
                <c:pt idx="8">
                  <c:v>1.4319999999999999</c:v>
                </c:pt>
              </c:numCache>
            </c:numRef>
          </c:val>
          <c:extLst>
            <c:ext xmlns:c16="http://schemas.microsoft.com/office/drawing/2014/chart" uri="{C3380CC4-5D6E-409C-BE32-E72D297353CC}">
              <c16:uniqueId val="{00000014-0ED5-4A55-9CF9-AA9079A35FDC}"/>
            </c:ext>
          </c:extLst>
        </c:ser>
        <c:ser>
          <c:idx val="2"/>
          <c:order val="2"/>
          <c:tx>
            <c:strRef>
              <c:f>Global_Share_Pivot!$D$3:$D$4</c:f>
              <c:strCache>
                <c:ptCount val="1"/>
                <c:pt idx="0">
                  <c:v>China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Global_Share_Pivot!$D$5:$D$14</c:f>
              <c:numCache>
                <c:formatCode>0.00</c:formatCode>
                <c:ptCount val="9"/>
                <c:pt idx="0">
                  <c:v>27.844999999999999</c:v>
                </c:pt>
                <c:pt idx="1">
                  <c:v>27.542999999999999</c:v>
                </c:pt>
                <c:pt idx="2">
                  <c:v>27.797000000000001</c:v>
                </c:pt>
                <c:pt idx="3">
                  <c:v>28.167000000000002</c:v>
                </c:pt>
                <c:pt idx="4">
                  <c:v>28.888000000000002</c:v>
                </c:pt>
                <c:pt idx="5">
                  <c:v>30.992999999999999</c:v>
                </c:pt>
                <c:pt idx="6">
                  <c:v>30.609000000000002</c:v>
                </c:pt>
                <c:pt idx="7">
                  <c:v>31.207999999999998</c:v>
                </c:pt>
                <c:pt idx="8">
                  <c:v>31.952999999999999</c:v>
                </c:pt>
              </c:numCache>
            </c:numRef>
          </c:val>
          <c:extLst>
            <c:ext xmlns:c16="http://schemas.microsoft.com/office/drawing/2014/chart" uri="{C3380CC4-5D6E-409C-BE32-E72D297353CC}">
              <c16:uniqueId val="{00000015-0ED5-4A55-9CF9-AA9079A35FDC}"/>
            </c:ext>
          </c:extLst>
        </c:ser>
        <c:ser>
          <c:idx val="3"/>
          <c:order val="3"/>
          <c:tx>
            <c:strRef>
              <c:f>Global_Share_Pivot!$E$3:$E$4</c:f>
              <c:strCache>
                <c:ptCount val="1"/>
                <c:pt idx="0">
                  <c:v>Germany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Global_Share_Pivot!$E$5:$E$14</c:f>
              <c:numCache>
                <c:formatCode>0.00</c:formatCode>
                <c:ptCount val="9"/>
                <c:pt idx="0">
                  <c:v>2.262</c:v>
                </c:pt>
                <c:pt idx="1">
                  <c:v>2.2549999999999999</c:v>
                </c:pt>
                <c:pt idx="2">
                  <c:v>2.181</c:v>
                </c:pt>
                <c:pt idx="3">
                  <c:v>2.0659999999999998</c:v>
                </c:pt>
                <c:pt idx="4">
                  <c:v>1.911</c:v>
                </c:pt>
                <c:pt idx="5">
                  <c:v>1.841</c:v>
                </c:pt>
                <c:pt idx="6">
                  <c:v>1.839</c:v>
                </c:pt>
                <c:pt idx="7">
                  <c:v>1.78</c:v>
                </c:pt>
                <c:pt idx="8">
                  <c:v>1.5589999999999999</c:v>
                </c:pt>
              </c:numCache>
            </c:numRef>
          </c:val>
          <c:extLst>
            <c:ext xmlns:c16="http://schemas.microsoft.com/office/drawing/2014/chart" uri="{C3380CC4-5D6E-409C-BE32-E72D297353CC}">
              <c16:uniqueId val="{00000016-0ED5-4A55-9CF9-AA9079A35FDC}"/>
            </c:ext>
          </c:extLst>
        </c:ser>
        <c:ser>
          <c:idx val="4"/>
          <c:order val="4"/>
          <c:tx>
            <c:strRef>
              <c:f>Global_Share_Pivot!$F$3:$F$4</c:f>
              <c:strCache>
                <c:ptCount val="1"/>
                <c:pt idx="0">
                  <c:v>India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Global_Share_Pivot!$F$5:$F$14</c:f>
              <c:numCache>
                <c:formatCode>0.00</c:formatCode>
                <c:ptCount val="9"/>
                <c:pt idx="0">
                  <c:v>6.3040000000000003</c:v>
                </c:pt>
                <c:pt idx="1">
                  <c:v>6.6470000000000002</c:v>
                </c:pt>
                <c:pt idx="2">
                  <c:v>6.7430000000000003</c:v>
                </c:pt>
                <c:pt idx="3">
                  <c:v>7.0650000000000004</c:v>
                </c:pt>
                <c:pt idx="4">
                  <c:v>7.0410000000000004</c:v>
                </c:pt>
                <c:pt idx="5">
                  <c:v>6.891</c:v>
                </c:pt>
                <c:pt idx="6">
                  <c:v>7.258</c:v>
                </c:pt>
                <c:pt idx="7">
                  <c:v>7.5439999999999996</c:v>
                </c:pt>
                <c:pt idx="8">
                  <c:v>8.0399999999999991</c:v>
                </c:pt>
              </c:numCache>
            </c:numRef>
          </c:val>
          <c:extLst>
            <c:ext xmlns:c16="http://schemas.microsoft.com/office/drawing/2014/chart" uri="{C3380CC4-5D6E-409C-BE32-E72D297353CC}">
              <c16:uniqueId val="{00000017-0ED5-4A55-9CF9-AA9079A35FDC}"/>
            </c:ext>
          </c:extLst>
        </c:ser>
        <c:ser>
          <c:idx val="5"/>
          <c:order val="5"/>
          <c:tx>
            <c:strRef>
              <c:f>Global_Share_Pivot!$G$3:$G$4</c:f>
              <c:strCache>
                <c:ptCount val="1"/>
                <c:pt idx="0">
                  <c:v>Indonesia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Global_Share_Pivot!$G$5:$G$14</c:f>
              <c:numCache>
                <c:formatCode>0.00</c:formatCode>
                <c:ptCount val="9"/>
                <c:pt idx="0">
                  <c:v>1.5569999999999999</c:v>
                </c:pt>
                <c:pt idx="1">
                  <c:v>1.548</c:v>
                </c:pt>
                <c:pt idx="2">
                  <c:v>1.587</c:v>
                </c:pt>
                <c:pt idx="3">
                  <c:v>1.653</c:v>
                </c:pt>
                <c:pt idx="4">
                  <c:v>1.7929999999999999</c:v>
                </c:pt>
                <c:pt idx="5">
                  <c:v>1.7729999999999999</c:v>
                </c:pt>
                <c:pt idx="6">
                  <c:v>1.7170000000000001</c:v>
                </c:pt>
                <c:pt idx="7">
                  <c:v>2.02</c:v>
                </c:pt>
                <c:pt idx="8">
                  <c:v>2.0009999999999999</c:v>
                </c:pt>
              </c:numCache>
            </c:numRef>
          </c:val>
          <c:extLst>
            <c:ext xmlns:c16="http://schemas.microsoft.com/office/drawing/2014/chart" uri="{C3380CC4-5D6E-409C-BE32-E72D297353CC}">
              <c16:uniqueId val="{00000018-0ED5-4A55-9CF9-AA9079A35FDC}"/>
            </c:ext>
          </c:extLst>
        </c:ser>
        <c:ser>
          <c:idx val="6"/>
          <c:order val="6"/>
          <c:tx>
            <c:strRef>
              <c:f>Global_Share_Pivot!$H$3:$H$4</c:f>
              <c:strCache>
                <c:ptCount val="1"/>
                <c:pt idx="0">
                  <c:v>Japan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Global_Share_Pivot!$H$5:$H$14</c:f>
              <c:numCache>
                <c:formatCode>0.00</c:formatCode>
                <c:ptCount val="9"/>
                <c:pt idx="0">
                  <c:v>3.4460000000000002</c:v>
                </c:pt>
                <c:pt idx="1">
                  <c:v>3.39</c:v>
                </c:pt>
                <c:pt idx="2">
                  <c:v>3.2919999999999998</c:v>
                </c:pt>
                <c:pt idx="3">
                  <c:v>3.0990000000000002</c:v>
                </c:pt>
                <c:pt idx="4">
                  <c:v>2.972</c:v>
                </c:pt>
                <c:pt idx="5">
                  <c:v>2.95</c:v>
                </c:pt>
                <c:pt idx="6">
                  <c:v>2.871</c:v>
                </c:pt>
                <c:pt idx="7">
                  <c:v>2.7440000000000002</c:v>
                </c:pt>
                <c:pt idx="8">
                  <c:v>2.5910000000000002</c:v>
                </c:pt>
              </c:numCache>
            </c:numRef>
          </c:val>
          <c:extLst>
            <c:ext xmlns:c16="http://schemas.microsoft.com/office/drawing/2014/chart" uri="{C3380CC4-5D6E-409C-BE32-E72D297353CC}">
              <c16:uniqueId val="{00000019-0ED5-4A55-9CF9-AA9079A35FDC}"/>
            </c:ext>
          </c:extLst>
        </c:ser>
        <c:ser>
          <c:idx val="7"/>
          <c:order val="7"/>
          <c:tx>
            <c:strRef>
              <c:f>Global_Share_Pivot!$I$3:$I$4</c:f>
              <c:strCache>
                <c:ptCount val="1"/>
                <c:pt idx="0">
                  <c:v>Russia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Global_Share_Pivot!$I$5:$I$14</c:f>
              <c:numCache>
                <c:formatCode>0.00</c:formatCode>
                <c:ptCount val="9"/>
                <c:pt idx="0">
                  <c:v>4.6189999999999998</c:v>
                </c:pt>
                <c:pt idx="1">
                  <c:v>4.6040000000000001</c:v>
                </c:pt>
                <c:pt idx="2">
                  <c:v>4.617</c:v>
                </c:pt>
                <c:pt idx="3">
                  <c:v>4.6550000000000002</c:v>
                </c:pt>
                <c:pt idx="4">
                  <c:v>4.5960000000000001</c:v>
                </c:pt>
                <c:pt idx="5">
                  <c:v>4.6420000000000003</c:v>
                </c:pt>
                <c:pt idx="6">
                  <c:v>4.5419999999999998</c:v>
                </c:pt>
                <c:pt idx="7">
                  <c:v>4.4649999999999999</c:v>
                </c:pt>
                <c:pt idx="8">
                  <c:v>4.55</c:v>
                </c:pt>
              </c:numCache>
            </c:numRef>
          </c:val>
          <c:extLst>
            <c:ext xmlns:c16="http://schemas.microsoft.com/office/drawing/2014/chart" uri="{C3380CC4-5D6E-409C-BE32-E72D297353CC}">
              <c16:uniqueId val="{0000001A-0ED5-4A55-9CF9-AA9079A35FDC}"/>
            </c:ext>
          </c:extLst>
        </c:ser>
        <c:ser>
          <c:idx val="8"/>
          <c:order val="8"/>
          <c:tx>
            <c:strRef>
              <c:f>Global_Share_Pivot!$J$3:$J$4</c:f>
              <c:strCache>
                <c:ptCount val="1"/>
                <c:pt idx="0">
                  <c:v>United Kingdom</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Global_Share_Pivot!$J$5:$J$14</c:f>
              <c:numCache>
                <c:formatCode>0.00</c:formatCode>
                <c:ptCount val="9"/>
                <c:pt idx="0">
                  <c:v>1.1930000000000001</c:v>
                </c:pt>
                <c:pt idx="1">
                  <c:v>1.129</c:v>
                </c:pt>
                <c:pt idx="2">
                  <c:v>1.077</c:v>
                </c:pt>
                <c:pt idx="3">
                  <c:v>1.034</c:v>
                </c:pt>
                <c:pt idx="4">
                  <c:v>0.98399999999999999</c:v>
                </c:pt>
                <c:pt idx="5">
                  <c:v>0.92800000000000005</c:v>
                </c:pt>
                <c:pt idx="6">
                  <c:v>0.92900000000000005</c:v>
                </c:pt>
                <c:pt idx="7">
                  <c:v>0.82899999999999996</c:v>
                </c:pt>
                <c:pt idx="8">
                  <c:v>0.80800000000000005</c:v>
                </c:pt>
              </c:numCache>
            </c:numRef>
          </c:val>
          <c:extLst>
            <c:ext xmlns:c16="http://schemas.microsoft.com/office/drawing/2014/chart" uri="{C3380CC4-5D6E-409C-BE32-E72D297353CC}">
              <c16:uniqueId val="{0000001B-0ED5-4A55-9CF9-AA9079A35FDC}"/>
            </c:ext>
          </c:extLst>
        </c:ser>
        <c:ser>
          <c:idx val="9"/>
          <c:order val="9"/>
          <c:tx>
            <c:strRef>
              <c:f>Global_Share_Pivot!$K$3:$K$4</c:f>
              <c:strCache>
                <c:ptCount val="1"/>
                <c:pt idx="0">
                  <c:v>United States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Global_Share_Pivot!$A$5:$A$14</c:f>
              <c:strCache>
                <c:ptCount val="9"/>
                <c:pt idx="0">
                  <c:v>2015</c:v>
                </c:pt>
                <c:pt idx="1">
                  <c:v>2016</c:v>
                </c:pt>
                <c:pt idx="2">
                  <c:v>2017</c:v>
                </c:pt>
                <c:pt idx="3">
                  <c:v>2018</c:v>
                </c:pt>
                <c:pt idx="4">
                  <c:v>2019</c:v>
                </c:pt>
                <c:pt idx="5">
                  <c:v>2020</c:v>
                </c:pt>
                <c:pt idx="6">
                  <c:v>2021</c:v>
                </c:pt>
                <c:pt idx="7">
                  <c:v>2022</c:v>
                </c:pt>
                <c:pt idx="8">
                  <c:v>2023</c:v>
                </c:pt>
              </c:strCache>
            </c:strRef>
          </c:cat>
          <c:val>
            <c:numRef>
              <c:f>Global_Share_Pivot!$K$5:$K$14</c:f>
              <c:numCache>
                <c:formatCode>0.00</c:formatCode>
                <c:ptCount val="9"/>
                <c:pt idx="0">
                  <c:v>15.164</c:v>
                </c:pt>
                <c:pt idx="1">
                  <c:v>14.82</c:v>
                </c:pt>
                <c:pt idx="2">
                  <c:v>14.442</c:v>
                </c:pt>
                <c:pt idx="3">
                  <c:v>14.595000000000001</c:v>
                </c:pt>
                <c:pt idx="4">
                  <c:v>14.118</c:v>
                </c:pt>
                <c:pt idx="5">
                  <c:v>13.34</c:v>
                </c:pt>
                <c:pt idx="6">
                  <c:v>13.617000000000001</c:v>
                </c:pt>
                <c:pt idx="7">
                  <c:v>13.471</c:v>
                </c:pt>
                <c:pt idx="8">
                  <c:v>12.911</c:v>
                </c:pt>
              </c:numCache>
            </c:numRef>
          </c:val>
          <c:extLst>
            <c:ext xmlns:c16="http://schemas.microsoft.com/office/drawing/2014/chart" uri="{C3380CC4-5D6E-409C-BE32-E72D297353CC}">
              <c16:uniqueId val="{0000001C-0ED5-4A55-9CF9-AA9079A35F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14</xdr:col>
      <xdr:colOff>584200</xdr:colOff>
      <xdr:row>2</xdr:row>
      <xdr:rowOff>107950</xdr:rowOff>
    </xdr:from>
    <xdr:to>
      <xdr:col>17</xdr:col>
      <xdr:colOff>584200</xdr:colOff>
      <xdr:row>16</xdr:row>
      <xdr:rowOff>53975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48B13256-F9B5-5D0D-1C56-98E20C79A8D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331450" y="476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2</xdr:row>
      <xdr:rowOff>25400</xdr:rowOff>
    </xdr:from>
    <xdr:to>
      <xdr:col>15</xdr:col>
      <xdr:colOff>38100</xdr:colOff>
      <xdr:row>15</xdr:row>
      <xdr:rowOff>155575</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6DCE73F9-BC9B-C87D-AED8-F791BAA2D1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566150" y="39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323850</xdr:colOff>
      <xdr:row>18</xdr:row>
      <xdr:rowOff>155119</xdr:rowOff>
    </xdr:from>
    <xdr:to>
      <xdr:col>10</xdr:col>
      <xdr:colOff>323850</xdr:colOff>
      <xdr:row>34</xdr:row>
      <xdr:rowOff>161469</xdr:rowOff>
    </xdr:to>
    <mc:AlternateContent xmlns:mc="http://schemas.openxmlformats.org/markup-compatibility/2006">
      <mc:Choice xmlns:a14="http://schemas.microsoft.com/office/drawing/2010/main" Requires="a14">
        <xdr:graphicFrame macro="">
          <xdr:nvGraphicFramePr>
            <xdr:cNvPr id="3" name="year 2">
              <a:extLst>
                <a:ext uri="{FF2B5EF4-FFF2-40B4-BE49-F238E27FC236}">
                  <a16:creationId xmlns:a16="http://schemas.microsoft.com/office/drawing/2014/main" id="{14F0256E-BCA1-41D2-9AC0-E1B86BB60A5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4610100" y="3420833"/>
              <a:ext cx="1836964" cy="2909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311150</xdr:colOff>
      <xdr:row>4</xdr:row>
      <xdr:rowOff>167819</xdr:rowOff>
    </xdr:from>
    <xdr:to>
      <xdr:col>10</xdr:col>
      <xdr:colOff>311150</xdr:colOff>
      <xdr:row>18</xdr:row>
      <xdr:rowOff>116565</xdr:rowOff>
    </xdr:to>
    <mc:AlternateContent xmlns:mc="http://schemas.openxmlformats.org/markup-compatibility/2006">
      <mc:Choice xmlns:a14="http://schemas.microsoft.com/office/drawing/2010/main" Requires="a14">
        <xdr:graphicFrame macro="">
          <xdr:nvGraphicFramePr>
            <xdr:cNvPr id="5" name="country 1">
              <a:extLst>
                <a:ext uri="{FF2B5EF4-FFF2-40B4-BE49-F238E27FC236}">
                  <a16:creationId xmlns:a16="http://schemas.microsoft.com/office/drawing/2014/main" id="{F7FC4045-DEE9-46E9-BA28-42FFD7215C6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597400" y="893533"/>
              <a:ext cx="1836964" cy="2488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317500</xdr:colOff>
      <xdr:row>4</xdr:row>
      <xdr:rowOff>126090</xdr:rowOff>
    </xdr:from>
    <xdr:to>
      <xdr:col>18</xdr:col>
      <xdr:colOff>12700</xdr:colOff>
      <xdr:row>19</xdr:row>
      <xdr:rowOff>107040</xdr:rowOff>
    </xdr:to>
    <xdr:graphicFrame macro="">
      <xdr:nvGraphicFramePr>
        <xdr:cNvPr id="8" name="Chart 7">
          <a:extLst>
            <a:ext uri="{FF2B5EF4-FFF2-40B4-BE49-F238E27FC236}">
              <a16:creationId xmlns:a16="http://schemas.microsoft.com/office/drawing/2014/main" id="{5C6FEF7E-754A-4CE4-8AE5-5A601F145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592667</xdr:colOff>
      <xdr:row>4</xdr:row>
      <xdr:rowOff>100690</xdr:rowOff>
    </xdr:from>
    <xdr:to>
      <xdr:col>25</xdr:col>
      <xdr:colOff>254001</xdr:colOff>
      <xdr:row>19</xdr:row>
      <xdr:rowOff>136068</xdr:rowOff>
    </xdr:to>
    <xdr:graphicFrame macro="">
      <xdr:nvGraphicFramePr>
        <xdr:cNvPr id="10" name="Chart 9">
          <a:extLst>
            <a:ext uri="{FF2B5EF4-FFF2-40B4-BE49-F238E27FC236}">
              <a16:creationId xmlns:a16="http://schemas.microsoft.com/office/drawing/2014/main" id="{C3499FE3-5075-432D-A0F9-10F9CB050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340783</xdr:colOff>
      <xdr:row>19</xdr:row>
      <xdr:rowOff>138185</xdr:rowOff>
    </xdr:from>
    <xdr:to>
      <xdr:col>18</xdr:col>
      <xdr:colOff>6349</xdr:colOff>
      <xdr:row>35</xdr:row>
      <xdr:rowOff>1207</xdr:rowOff>
    </xdr:to>
    <xdr:graphicFrame macro="">
      <xdr:nvGraphicFramePr>
        <xdr:cNvPr id="14" name="Chart 13">
          <a:extLst>
            <a:ext uri="{FF2B5EF4-FFF2-40B4-BE49-F238E27FC236}">
              <a16:creationId xmlns:a16="http://schemas.microsoft.com/office/drawing/2014/main" id="{40EA05D7-61E5-43D9-9FEA-DB911B76E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599017</xdr:colOff>
      <xdr:row>19</xdr:row>
      <xdr:rowOff>113390</xdr:rowOff>
    </xdr:from>
    <xdr:to>
      <xdr:col>25</xdr:col>
      <xdr:colOff>260351</xdr:colOff>
      <xdr:row>34</xdr:row>
      <xdr:rowOff>148769</xdr:rowOff>
    </xdr:to>
    <xdr:graphicFrame macro="">
      <xdr:nvGraphicFramePr>
        <xdr:cNvPr id="16" name="Chart 15">
          <a:extLst>
            <a:ext uri="{FF2B5EF4-FFF2-40B4-BE49-F238E27FC236}">
              <a16:creationId xmlns:a16="http://schemas.microsoft.com/office/drawing/2014/main" id="{CDBF7D7E-C7EF-4AB0-BB49-2FD19DD46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578295</xdr:colOff>
      <xdr:row>2</xdr:row>
      <xdr:rowOff>22679</xdr:rowOff>
    </xdr:from>
    <xdr:to>
      <xdr:col>25</xdr:col>
      <xdr:colOff>79375</xdr:colOff>
      <xdr:row>4</xdr:row>
      <xdr:rowOff>147411</xdr:rowOff>
    </xdr:to>
    <xdr:sp macro="" textlink="">
      <xdr:nvSpPr>
        <xdr:cNvPr id="17" name="TextBox 16">
          <a:extLst>
            <a:ext uri="{FF2B5EF4-FFF2-40B4-BE49-F238E27FC236}">
              <a16:creationId xmlns:a16="http://schemas.microsoft.com/office/drawing/2014/main" id="{C216CC03-A5AD-E684-13AD-9F1E5A30DAF5}"/>
            </a:ext>
          </a:extLst>
        </xdr:cNvPr>
        <xdr:cNvSpPr txBox="1"/>
      </xdr:nvSpPr>
      <xdr:spPr>
        <a:xfrm>
          <a:off x="6701509" y="385536"/>
          <a:ext cx="8685902" cy="48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a:effectLst/>
            </a:rPr>
            <a:t>Global CO2 Emissions KPI Dashboard – Net-Zero Trends (OWID Data)</a:t>
          </a:r>
        </a:p>
        <a:p>
          <a:endParaRPr lang="en-US" sz="2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695325</xdr:colOff>
      <xdr:row>2</xdr:row>
      <xdr:rowOff>82550</xdr:rowOff>
    </xdr:from>
    <xdr:to>
      <xdr:col>9</xdr:col>
      <xdr:colOff>847725</xdr:colOff>
      <xdr:row>17</xdr:row>
      <xdr:rowOff>63500</xdr:rowOff>
    </xdr:to>
    <xdr:graphicFrame macro="">
      <xdr:nvGraphicFramePr>
        <xdr:cNvPr id="7" name="Chart 6">
          <a:extLst>
            <a:ext uri="{FF2B5EF4-FFF2-40B4-BE49-F238E27FC236}">
              <a16:creationId xmlns:a16="http://schemas.microsoft.com/office/drawing/2014/main" id="{235D535F-0A7E-6A5C-D32E-314FEC2D2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6001.514478356483" createdVersion="8" refreshedVersion="8" minRefreshableVersion="3" recordCount="90" xr:uid="{FEF2E82F-2EE4-4829-B229-A8261558028E}">
  <cacheSource type="worksheet">
    <worksheetSource ref="A1:F91" sheet="Sheet1"/>
  </cacheSource>
  <cacheFields count="6">
    <cacheField name="country" numFmtId="0">
      <sharedItems count="10">
        <s v="Brazil"/>
        <s v="Canada"/>
        <s v="China"/>
        <s v="Germany"/>
        <s v="India"/>
        <s v="Indonesia"/>
        <s v="Japan"/>
        <s v="Russia"/>
        <s v="United Kingdom"/>
        <s v="United States"/>
      </sharedItems>
    </cacheField>
    <cacheField name="year" numFmtId="0">
      <sharedItems containsSemiMixedTypes="0" containsString="0" containsNumber="1" containsInteger="1" minValue="2015" maxValue="2023" count="9">
        <n v="2023"/>
        <n v="2022"/>
        <n v="2021"/>
        <n v="2020"/>
        <n v="2019"/>
        <n v="2018"/>
        <n v="2017"/>
        <n v="2016"/>
        <n v="2015"/>
      </sharedItems>
    </cacheField>
    <cacheField name="co2" numFmtId="2">
      <sharedItems containsSemiMixedTypes="0" containsString="0" containsNumber="1" minValue="307.82600000000002" maxValue="12172.009"/>
    </cacheField>
    <cacheField name="co2_growth_prct" numFmtId="2">
      <sharedItems containsSemiMixedTypes="0" containsString="0" containsNumber="1" minValue="-11.092000000000001" maxValue="19.760999999999999"/>
    </cacheField>
    <cacheField name="co2_per_capita" numFmtId="2">
      <sharedItems containsSemiMixedTypes="0" containsString="0" containsNumber="1" minValue="1.681" maxValue="16.460999999999999"/>
    </cacheField>
    <cacheField name="share_global_co2" numFmtId="2">
      <sharedItems containsSemiMixedTypes="0" containsString="0" containsNumber="1" minValue="0.80800000000000005" maxValue="31.952999999999999"/>
    </cacheField>
  </cacheFields>
  <extLst>
    <ext xmlns:x14="http://schemas.microsoft.com/office/spreadsheetml/2009/9/main" uri="{725AE2AE-9491-48be-B2B4-4EB974FC3084}">
      <x14:pivotCacheDefinition pivotCacheId="203897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n v="483.99200000000002"/>
    <n v="0.81899999999999995"/>
    <n v="2.2919999999999998"/>
    <n v="1.2709999999999999"/>
  </r>
  <r>
    <x v="1"/>
    <x v="0"/>
    <n v="545.47900000000004"/>
    <n v="-0.39800000000000002"/>
    <n v="13.88"/>
    <n v="1.4319999999999999"/>
  </r>
  <r>
    <x v="2"/>
    <x v="0"/>
    <n v="12172.009"/>
    <n v="3.9289999999999998"/>
    <n v="8.5559999999999992"/>
    <n v="31.952999999999999"/>
  </r>
  <r>
    <x v="3"/>
    <x v="0"/>
    <n v="593.76599999999996"/>
    <n v="-11.092000000000001"/>
    <n v="7.0229999999999997"/>
    <n v="1.5589999999999999"/>
  </r>
  <r>
    <x v="4"/>
    <x v="0"/>
    <n v="3062.7559999999999"/>
    <n v="8.1809999999999992"/>
    <n v="2.13"/>
    <n v="8.0399999999999991"/>
  </r>
  <r>
    <x v="5"/>
    <x v="0"/>
    <n v="762.35799999999995"/>
    <n v="0.57199999999999995"/>
    <n v="2.7109999999999999"/>
    <n v="2.0009999999999999"/>
  </r>
  <r>
    <x v="6"/>
    <x v="0"/>
    <n v="986.91"/>
    <n v="-4.1500000000000004"/>
    <n v="7.9349999999999996"/>
    <n v="2.5910000000000002"/>
  </r>
  <r>
    <x v="7"/>
    <x v="0"/>
    <n v="1733.135"/>
    <n v="3.4420000000000002"/>
    <n v="11.916"/>
    <n v="4.55"/>
  </r>
  <r>
    <x v="8"/>
    <x v="0"/>
    <n v="307.82600000000002"/>
    <n v="-1.0580000000000001"/>
    <n v="4.4820000000000002"/>
    <n v="0.80800000000000005"/>
  </r>
  <r>
    <x v="9"/>
    <x v="0"/>
    <n v="4918.4070000000002"/>
    <n v="-2.71"/>
    <n v="14.319000000000001"/>
    <n v="12.911"/>
  </r>
  <r>
    <x v="0"/>
    <x v="1"/>
    <n v="480.05799999999999"/>
    <n v="-3.3239999999999998"/>
    <n v="2.2829999999999999"/>
    <n v="1.2789999999999999"/>
  </r>
  <r>
    <x v="1"/>
    <x v="1"/>
    <n v="547.65800000000002"/>
    <n v="1.8939999999999999"/>
    <n v="14.106999999999999"/>
    <n v="1.4590000000000001"/>
  </r>
  <r>
    <x v="2"/>
    <x v="1"/>
    <n v="11711.808000000001"/>
    <n v="3.7879999999999998"/>
    <n v="8.218"/>
    <n v="31.207999999999998"/>
  </r>
  <r>
    <x v="3"/>
    <x v="1"/>
    <n v="667.84299999999996"/>
    <n v="-1.498"/>
    <n v="7.9420000000000002"/>
    <n v="1.78"/>
  </r>
  <r>
    <x v="4"/>
    <x v="1"/>
    <n v="2831.1320000000001"/>
    <n v="5.806"/>
    <n v="1.986"/>
    <n v="7.5439999999999996"/>
  </r>
  <r>
    <x v="5"/>
    <x v="1"/>
    <n v="758.02099999999996"/>
    <n v="19.760999999999999"/>
    <n v="2.7189999999999999"/>
    <n v="2.02"/>
  </r>
  <r>
    <x v="6"/>
    <x v="1"/>
    <n v="1029.645"/>
    <n v="-2.726"/>
    <n v="8.2370000000000001"/>
    <n v="2.7440000000000002"/>
  </r>
  <r>
    <x v="7"/>
    <x v="1"/>
    <n v="1675.461"/>
    <n v="5.6000000000000001E-2"/>
    <n v="11.509"/>
    <n v="4.4649999999999999"/>
  </r>
  <r>
    <x v="8"/>
    <x v="1"/>
    <n v="311.11799999999999"/>
    <n v="-9.1270000000000007"/>
    <n v="4.5629999999999997"/>
    <n v="0.82899999999999996"/>
  </r>
  <r>
    <x v="9"/>
    <x v="1"/>
    <n v="5055.4030000000002"/>
    <n v="0.70299999999999996"/>
    <n v="14.802"/>
    <n v="13.471"/>
  </r>
  <r>
    <x v="0"/>
    <x v="2"/>
    <n v="496.56200000000001"/>
    <n v="10.84"/>
    <n v="2.37"/>
    <n v="1.347"/>
  </r>
  <r>
    <x v="1"/>
    <x v="2"/>
    <n v="537.47900000000004"/>
    <n v="2.532"/>
    <n v="13.977"/>
    <n v="1.458"/>
  </r>
  <r>
    <x v="2"/>
    <x v="2"/>
    <n v="11284.401"/>
    <n v="3.56"/>
    <n v="7.9109999999999996"/>
    <n v="30.609000000000002"/>
  </r>
  <r>
    <x v="3"/>
    <x v="2"/>
    <n v="677.99800000000005"/>
    <n v="4.7619999999999996"/>
    <n v="8.1010000000000009"/>
    <n v="1.839"/>
  </r>
  <r>
    <x v="4"/>
    <x v="2"/>
    <n v="2675.7779999999998"/>
    <n v="10.445"/>
    <n v="1.8919999999999999"/>
    <n v="7.258"/>
  </r>
  <r>
    <x v="5"/>
    <x v="2"/>
    <n v="632.94600000000003"/>
    <n v="1.5469999999999999"/>
    <n v="2.2869999999999999"/>
    <n v="1.7170000000000001"/>
  </r>
  <r>
    <x v="6"/>
    <x v="2"/>
    <n v="1058.502"/>
    <n v="2.0449999999999999"/>
    <n v="8.4220000000000006"/>
    <n v="2.871"/>
  </r>
  <r>
    <x v="7"/>
    <x v="2"/>
    <n v="1674.5239999999999"/>
    <n v="2.6120000000000001"/>
    <n v="11.481999999999999"/>
    <n v="4.5419999999999998"/>
  </r>
  <r>
    <x v="8"/>
    <x v="2"/>
    <n v="342.36599999999999"/>
    <n v="4.9349999999999996"/>
    <n v="5.0590000000000002"/>
    <n v="0.92900000000000005"/>
  </r>
  <r>
    <x v="9"/>
    <x v="2"/>
    <n v="5020.1109999999999"/>
    <n v="7.04"/>
    <n v="14.757999999999999"/>
    <n v="13.617000000000001"/>
  </r>
  <r>
    <x v="0"/>
    <x v="3"/>
    <n v="447.99900000000002"/>
    <n v="-6.0250000000000004"/>
    <n v="2.1469999999999998"/>
    <n v="1.274"/>
  </r>
  <r>
    <x v="1"/>
    <x v="3"/>
    <n v="524.20799999999997"/>
    <n v="-9.4640000000000004"/>
    <n v="13.733000000000001"/>
    <n v="1.4910000000000001"/>
  </r>
  <r>
    <x v="2"/>
    <x v="3"/>
    <n v="10896.521000000001"/>
    <n v="1.708"/>
    <n v="7.641"/>
    <n v="30.992999999999999"/>
  </r>
  <r>
    <x v="3"/>
    <x v="3"/>
    <n v="647.17700000000002"/>
    <n v="-8.6750000000000007"/>
    <n v="7.7389999999999999"/>
    <n v="1.841"/>
  </r>
  <r>
    <x v="4"/>
    <x v="3"/>
    <n v="2422.732"/>
    <n v="-7.2169999999999996"/>
    <n v="1.7270000000000001"/>
    <n v="6.891"/>
  </r>
  <r>
    <x v="5"/>
    <x v="3"/>
    <n v="623.30399999999997"/>
    <n v="-6.2770000000000001"/>
    <n v="2.2679999999999998"/>
    <n v="1.7729999999999999"/>
  </r>
  <r>
    <x v="6"/>
    <x v="3"/>
    <n v="1037.2850000000001"/>
    <n v="-5.8780000000000001"/>
    <n v="8.2129999999999992"/>
    <n v="2.95"/>
  </r>
  <r>
    <x v="7"/>
    <x v="3"/>
    <n v="1631.902"/>
    <n v="-4.2569999999999997"/>
    <n v="11.148999999999999"/>
    <n v="4.6420000000000003"/>
  </r>
  <r>
    <x v="8"/>
    <x v="3"/>
    <n v="326.26299999999998"/>
    <n v="-10.552"/>
    <n v="4.8440000000000003"/>
    <n v="0.92800000000000005"/>
  </r>
  <r>
    <x v="9"/>
    <x v="3"/>
    <n v="4689.9539999999997"/>
    <n v="-10.427"/>
    <n v="13.817"/>
    <n v="13.34"/>
  </r>
  <r>
    <x v="0"/>
    <x v="4"/>
    <n v="476.72399999999999"/>
    <n v="2.5999999999999999E-2"/>
    <n v="2.298"/>
    <n v="1.2849999999999999"/>
  </r>
  <r>
    <x v="1"/>
    <x v="4"/>
    <n v="579.00699999999995"/>
    <n v="0.68100000000000005"/>
    <n v="15.324999999999999"/>
    <n v="1.5609999999999999"/>
  </r>
  <r>
    <x v="2"/>
    <x v="4"/>
    <n v="10713.514999999999"/>
    <n v="3.544"/>
    <n v="7.5259999999999998"/>
    <n v="28.888000000000002"/>
  </r>
  <r>
    <x v="3"/>
    <x v="4"/>
    <n v="708.649"/>
    <n v="-6.6059999999999999"/>
    <n v="8.4809999999999999"/>
    <n v="1.911"/>
  </r>
  <r>
    <x v="4"/>
    <x v="4"/>
    <n v="2611.1750000000002"/>
    <n v="0.61499999999999999"/>
    <n v="1.88"/>
    <n v="7.0410000000000004"/>
  </r>
  <r>
    <x v="5"/>
    <x v="4"/>
    <n v="665.04899999999998"/>
    <n v="9.4949999999999992"/>
    <n v="2.4409999999999998"/>
    <n v="1.7929999999999999"/>
  </r>
  <r>
    <x v="6"/>
    <x v="4"/>
    <n v="1102.0630000000001"/>
    <n v="-3.2050000000000001"/>
    <n v="8.6980000000000004"/>
    <n v="2.972"/>
  </r>
  <r>
    <x v="7"/>
    <x v="4"/>
    <n v="1704.4590000000001"/>
    <n v="-0.31900000000000001"/>
    <n v="11.632"/>
    <n v="4.5960000000000001"/>
  </r>
  <r>
    <x v="8"/>
    <x v="4"/>
    <n v="364.75299999999999"/>
    <n v="-3.944"/>
    <n v="5.4349999999999996"/>
    <n v="0.98399999999999999"/>
  </r>
  <r>
    <x v="9"/>
    <x v="4"/>
    <n v="5235.9120000000003"/>
    <n v="-2.3380000000000001"/>
    <n v="15.5"/>
    <n v="14.118"/>
  </r>
  <r>
    <x v="0"/>
    <x v="5"/>
    <n v="476.601"/>
    <n v="-4.1539999999999999"/>
    <n v="2.3119999999999998"/>
    <n v="1.2969999999999999"/>
  </r>
  <r>
    <x v="1"/>
    <x v="5"/>
    <n v="575.09100000000001"/>
    <n v="1.488"/>
    <n v="15.42"/>
    <n v="1.5660000000000001"/>
  </r>
  <r>
    <x v="2"/>
    <x v="5"/>
    <n v="10346.790000000001"/>
    <n v="3.468"/>
    <n v="7.2919999999999998"/>
    <n v="28.167000000000002"/>
  </r>
  <r>
    <x v="3"/>
    <x v="5"/>
    <n v="758.77099999999996"/>
    <n v="-3.2909999999999999"/>
    <n v="9.1010000000000009"/>
    <n v="2.0659999999999998"/>
  </r>
  <r>
    <x v="4"/>
    <x v="5"/>
    <n v="2595.2269999999999"/>
    <n v="6.9880000000000004"/>
    <n v="1.8879999999999999"/>
    <n v="7.0650000000000004"/>
  </r>
  <r>
    <x v="5"/>
    <x v="5"/>
    <n v="607.37800000000004"/>
    <n v="6.3840000000000003"/>
    <n v="2.25"/>
    <n v="1.653"/>
  </r>
  <r>
    <x v="6"/>
    <x v="5"/>
    <n v="1138.55"/>
    <n v="-3.871"/>
    <n v="8.9710000000000001"/>
    <n v="3.0990000000000002"/>
  </r>
  <r>
    <x v="7"/>
    <x v="5"/>
    <n v="1709.91"/>
    <n v="2.944"/>
    <n v="11.677"/>
    <n v="4.6550000000000002"/>
  </r>
  <r>
    <x v="8"/>
    <x v="5"/>
    <n v="379.73"/>
    <n v="-1.972"/>
    <n v="5.6890000000000001"/>
    <n v="1.034"/>
  </r>
  <r>
    <x v="9"/>
    <x v="5"/>
    <n v="5361.2359999999999"/>
    <n v="3.1920000000000002"/>
    <n v="16.001000000000001"/>
    <n v="14.595000000000001"/>
  </r>
  <r>
    <x v="0"/>
    <x v="6"/>
    <n v="497.255"/>
    <n v="1.1200000000000001"/>
    <n v="2.4289999999999998"/>
    <n v="1.3819999999999999"/>
  </r>
  <r>
    <x v="1"/>
    <x v="6"/>
    <n v="566.66"/>
    <n v="2.339"/>
    <n v="15.395"/>
    <n v="1.575"/>
  </r>
  <r>
    <x v="2"/>
    <x v="6"/>
    <n v="10000.013999999999"/>
    <n v="2.5830000000000002"/>
    <n v="7.08"/>
    <n v="27.797000000000001"/>
  </r>
  <r>
    <x v="3"/>
    <x v="6"/>
    <n v="784.59500000000003"/>
    <n v="-1.6779999999999999"/>
    <n v="9.4410000000000007"/>
    <n v="2.181"/>
  </r>
  <r>
    <x v="4"/>
    <x v="6"/>
    <n v="2425.7220000000002"/>
    <n v="3.1110000000000002"/>
    <n v="1.784"/>
    <n v="6.7430000000000003"/>
  </r>
  <r>
    <x v="5"/>
    <x v="6"/>
    <n v="570.928"/>
    <n v="4.1900000000000004"/>
    <n v="2.1360000000000001"/>
    <n v="1.587"/>
  </r>
  <r>
    <x v="6"/>
    <x v="6"/>
    <n v="1184.3920000000001"/>
    <n v="-1.2949999999999999"/>
    <n v="9.3209999999999997"/>
    <n v="3.2919999999999998"/>
  </r>
  <r>
    <x v="7"/>
    <x v="6"/>
    <n v="1661.0119999999999"/>
    <n v="1.9450000000000001"/>
    <n v="11.362"/>
    <n v="4.617"/>
  </r>
  <r>
    <x v="8"/>
    <x v="6"/>
    <n v="387.36700000000002"/>
    <n v="-3.02"/>
    <n v="5.8380000000000001"/>
    <n v="1.077"/>
  </r>
  <r>
    <x v="9"/>
    <x v="6"/>
    <n v="5195.4170000000004"/>
    <n v="-0.95199999999999996"/>
    <n v="15.638999999999999"/>
    <n v="14.442"/>
  </r>
  <r>
    <x v="0"/>
    <x v="7"/>
    <n v="491.745"/>
    <n v="-6.8970000000000002"/>
    <n v="2.42"/>
    <n v="1.389"/>
  </r>
  <r>
    <x v="1"/>
    <x v="7"/>
    <n v="553.70699999999999"/>
    <n v="-1.651"/>
    <n v="15.231"/>
    <n v="1.5640000000000001"/>
  </r>
  <r>
    <x v="2"/>
    <x v="7"/>
    <n v="9748.1749999999993"/>
    <n v="-1.1140000000000001"/>
    <n v="6.9429999999999996"/>
    <n v="27.542999999999999"/>
  </r>
  <r>
    <x v="3"/>
    <x v="7"/>
    <n v="797.98800000000006"/>
    <n v="-0.35399999999999998"/>
    <n v="9.6419999999999995"/>
    <n v="2.2549999999999999"/>
  </r>
  <r>
    <x v="4"/>
    <x v="7"/>
    <n v="2352.54"/>
    <n v="5.4089999999999998"/>
    <n v="1.75"/>
    <n v="6.6470000000000002"/>
  </r>
  <r>
    <x v="5"/>
    <x v="7"/>
    <n v="547.96900000000005"/>
    <n v="-0.57899999999999996"/>
    <n v="2.0710000000000002"/>
    <n v="1.548"/>
  </r>
  <r>
    <x v="6"/>
    <x v="7"/>
    <n v="1199.933"/>
    <n v="-1.643"/>
    <n v="9.4359999999999999"/>
    <n v="3.39"/>
  </r>
  <r>
    <x v="7"/>
    <x v="7"/>
    <n v="1629.328"/>
    <n v="-0.36199999999999999"/>
    <n v="11.177"/>
    <n v="4.6040000000000001"/>
  </r>
  <r>
    <x v="8"/>
    <x v="7"/>
    <n v="399.43"/>
    <n v="-5.452"/>
    <n v="6.0620000000000003"/>
    <n v="1.129"/>
  </r>
  <r>
    <x v="9"/>
    <x v="7"/>
    <n v="5245.3620000000001"/>
    <n v="-2.294"/>
    <n v="15.935"/>
    <n v="14.82"/>
  </r>
  <r>
    <x v="0"/>
    <x v="8"/>
    <n v="528.17399999999998"/>
    <n v="-5.0940000000000003"/>
    <n v="2.6190000000000002"/>
    <n v="1.492"/>
  </r>
  <r>
    <x v="1"/>
    <x v="8"/>
    <n v="563.00300000000004"/>
    <n v="-0.34300000000000003"/>
    <n v="15.654999999999999"/>
    <n v="1.59"/>
  </r>
  <r>
    <x v="2"/>
    <x v="8"/>
    <n v="9858.0400000000009"/>
    <n v="-1.1830000000000001"/>
    <n v="7.0609999999999999"/>
    <n v="27.844999999999999"/>
  </r>
  <r>
    <x v="3"/>
    <x v="8"/>
    <n v="800.82299999999998"/>
    <n v="1.04"/>
    <n v="9.7569999999999997"/>
    <n v="2.262"/>
  </r>
  <r>
    <x v="4"/>
    <x v="8"/>
    <n v="2231.817"/>
    <n v="3.9"/>
    <n v="1.681"/>
    <n v="6.3040000000000003"/>
  </r>
  <r>
    <x v="5"/>
    <x v="8"/>
    <n v="551.16"/>
    <n v="10.667999999999999"/>
    <n v="2.105"/>
    <n v="1.5569999999999999"/>
  </r>
  <r>
    <x v="6"/>
    <x v="8"/>
    <n v="1219.982"/>
    <n v="-3.1970000000000001"/>
    <n v="9.5850000000000009"/>
    <n v="3.4460000000000002"/>
  </r>
  <r>
    <x v="7"/>
    <x v="8"/>
    <n v="1635.2439999999999"/>
    <n v="-0.126"/>
    <n v="11.254"/>
    <n v="4.6189999999999998"/>
  </r>
  <r>
    <x v="8"/>
    <x v="8"/>
    <n v="422.46100000000001"/>
    <n v="-3.7250000000000001"/>
    <n v="6.4610000000000003"/>
    <n v="1.1930000000000001"/>
  </r>
  <r>
    <x v="9"/>
    <x v="8"/>
    <n v="5368.4970000000003"/>
    <n v="-2.9449999999999998"/>
    <n v="16.460999999999999"/>
    <n v="15.1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997CE5-E19C-405F-B4E5-03DAEFF7F8FD}"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L14" firstHeaderRow="1" firstDataRow="2" firstDataCol="1"/>
  <pivotFields count="6">
    <pivotField axis="axisCol" showAll="0">
      <items count="11">
        <item x="0"/>
        <item x="1"/>
        <item x="2"/>
        <item x="3"/>
        <item x="4"/>
        <item x="5"/>
        <item x="6"/>
        <item x="7"/>
        <item x="8"/>
        <item x="9"/>
        <item t="default"/>
      </items>
    </pivotField>
    <pivotField axis="axisRow" showAll="0">
      <items count="10">
        <item x="8"/>
        <item x="7"/>
        <item x="6"/>
        <item x="5"/>
        <item x="4"/>
        <item x="3"/>
        <item x="2"/>
        <item x="1"/>
        <item x="0"/>
        <item t="default"/>
      </items>
    </pivotField>
    <pivotField dataField="1" numFmtId="2" showAll="0"/>
    <pivotField numFmtId="2" showAll="0"/>
    <pivotField numFmtId="2" showAll="0"/>
    <pivotField numFmtId="2" showAll="0"/>
  </pivotFields>
  <rowFields count="1">
    <field x="1"/>
  </rowFields>
  <rowItems count="10">
    <i>
      <x/>
    </i>
    <i>
      <x v="1"/>
    </i>
    <i>
      <x v="2"/>
    </i>
    <i>
      <x v="3"/>
    </i>
    <i>
      <x v="4"/>
    </i>
    <i>
      <x v="5"/>
    </i>
    <i>
      <x v="6"/>
    </i>
    <i>
      <x v="7"/>
    </i>
    <i>
      <x v="8"/>
    </i>
    <i t="grand">
      <x/>
    </i>
  </rowItems>
  <colFields count="1">
    <field x="0"/>
  </colFields>
  <colItems count="11">
    <i>
      <x/>
    </i>
    <i>
      <x v="1"/>
    </i>
    <i>
      <x v="2"/>
    </i>
    <i>
      <x v="3"/>
    </i>
    <i>
      <x v="4"/>
    </i>
    <i>
      <x v="5"/>
    </i>
    <i>
      <x v="6"/>
    </i>
    <i>
      <x v="7"/>
    </i>
    <i>
      <x v="8"/>
    </i>
    <i>
      <x v="9"/>
    </i>
    <i t="grand">
      <x/>
    </i>
  </colItems>
  <dataFields count="1">
    <dataField name="Sum of co2" fld="2" baseField="0" baseItem="0" numFmtId="2"/>
  </dataFields>
  <chartFormats count="10">
    <chartFormat chart="3" format="20" series="1">
      <pivotArea type="data" outline="0" fieldPosition="0">
        <references count="2">
          <reference field="4294967294" count="1" selected="0">
            <x v="0"/>
          </reference>
          <reference field="0" count="1" selected="0">
            <x v="0"/>
          </reference>
        </references>
      </pivotArea>
    </chartFormat>
    <chartFormat chart="3" format="21" series="1">
      <pivotArea type="data" outline="0" fieldPosition="0">
        <references count="2">
          <reference field="4294967294" count="1" selected="0">
            <x v="0"/>
          </reference>
          <reference field="0" count="1" selected="0">
            <x v="1"/>
          </reference>
        </references>
      </pivotArea>
    </chartFormat>
    <chartFormat chart="3" format="22" series="1">
      <pivotArea type="data" outline="0" fieldPosition="0">
        <references count="2">
          <reference field="4294967294" count="1" selected="0">
            <x v="0"/>
          </reference>
          <reference field="0" count="1" selected="0">
            <x v="2"/>
          </reference>
        </references>
      </pivotArea>
    </chartFormat>
    <chartFormat chart="3" format="23" series="1">
      <pivotArea type="data" outline="0" fieldPosition="0">
        <references count="2">
          <reference field="4294967294" count="1" selected="0">
            <x v="0"/>
          </reference>
          <reference field="0" count="1" selected="0">
            <x v="3"/>
          </reference>
        </references>
      </pivotArea>
    </chartFormat>
    <chartFormat chart="3" format="24" series="1">
      <pivotArea type="data" outline="0" fieldPosition="0">
        <references count="2">
          <reference field="4294967294" count="1" selected="0">
            <x v="0"/>
          </reference>
          <reference field="0" count="1" selected="0">
            <x v="4"/>
          </reference>
        </references>
      </pivotArea>
    </chartFormat>
    <chartFormat chart="3" format="25" series="1">
      <pivotArea type="data" outline="0" fieldPosition="0">
        <references count="2">
          <reference field="4294967294" count="1" selected="0">
            <x v="0"/>
          </reference>
          <reference field="0" count="1" selected="0">
            <x v="5"/>
          </reference>
        </references>
      </pivotArea>
    </chartFormat>
    <chartFormat chart="3" format="26" series="1">
      <pivotArea type="data" outline="0" fieldPosition="0">
        <references count="2">
          <reference field="4294967294" count="1" selected="0">
            <x v="0"/>
          </reference>
          <reference field="0" count="1" selected="0">
            <x v="6"/>
          </reference>
        </references>
      </pivotArea>
    </chartFormat>
    <chartFormat chart="3" format="27" series="1">
      <pivotArea type="data" outline="0" fieldPosition="0">
        <references count="2">
          <reference field="4294967294" count="1" selected="0">
            <x v="0"/>
          </reference>
          <reference field="0" count="1" selected="0">
            <x v="7"/>
          </reference>
        </references>
      </pivotArea>
    </chartFormat>
    <chartFormat chart="3" format="28" series="1">
      <pivotArea type="data" outline="0" fieldPosition="0">
        <references count="2">
          <reference field="4294967294" count="1" selected="0">
            <x v="0"/>
          </reference>
          <reference field="0" count="1" selected="0">
            <x v="8"/>
          </reference>
        </references>
      </pivotArea>
    </chartFormat>
    <chartFormat chart="3" format="29" series="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887FE-1E86-469F-8D8A-22475762B62E}"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L14" firstHeaderRow="1" firstDataRow="2" firstDataCol="1"/>
  <pivotFields count="6">
    <pivotField axis="axisCol" showAll="0">
      <items count="11">
        <item x="0"/>
        <item x="1"/>
        <item x="2"/>
        <item x="3"/>
        <item x="4"/>
        <item x="5"/>
        <item x="6"/>
        <item x="7"/>
        <item x="8"/>
        <item x="9"/>
        <item t="default"/>
      </items>
    </pivotField>
    <pivotField axis="axisRow" showAll="0">
      <items count="10">
        <item x="8"/>
        <item x="7"/>
        <item x="6"/>
        <item x="5"/>
        <item x="4"/>
        <item x="3"/>
        <item x="2"/>
        <item x="1"/>
        <item x="0"/>
        <item t="default"/>
      </items>
    </pivotField>
    <pivotField numFmtId="2" showAll="0"/>
    <pivotField numFmtId="2" showAll="0"/>
    <pivotField dataField="1" numFmtId="2" showAll="0"/>
    <pivotField numFmtId="2" showAll="0"/>
  </pivotFields>
  <rowFields count="1">
    <field x="1"/>
  </rowFields>
  <rowItems count="10">
    <i>
      <x/>
    </i>
    <i>
      <x v="1"/>
    </i>
    <i>
      <x v="2"/>
    </i>
    <i>
      <x v="3"/>
    </i>
    <i>
      <x v="4"/>
    </i>
    <i>
      <x v="5"/>
    </i>
    <i>
      <x v="6"/>
    </i>
    <i>
      <x v="7"/>
    </i>
    <i>
      <x v="8"/>
    </i>
    <i t="grand">
      <x/>
    </i>
  </rowItems>
  <colFields count="1">
    <field x="0"/>
  </colFields>
  <colItems count="11">
    <i>
      <x/>
    </i>
    <i>
      <x v="1"/>
    </i>
    <i>
      <x v="2"/>
    </i>
    <i>
      <x v="3"/>
    </i>
    <i>
      <x v="4"/>
    </i>
    <i>
      <x v="5"/>
    </i>
    <i>
      <x v="6"/>
    </i>
    <i>
      <x v="7"/>
    </i>
    <i>
      <x v="8"/>
    </i>
    <i>
      <x v="9"/>
    </i>
    <i t="grand">
      <x/>
    </i>
  </colItems>
  <dataFields count="1">
    <dataField name="Average of co2_per_capita" fld="4" subtotal="average" baseField="1" baseItem="0" numFmtId="2"/>
  </dataFields>
  <chartFormats count="10">
    <chartFormat chart="3" format="20" series="1">
      <pivotArea type="data" outline="0" fieldPosition="0">
        <references count="2">
          <reference field="4294967294" count="1" selected="0">
            <x v="0"/>
          </reference>
          <reference field="0" count="1" selected="0">
            <x v="0"/>
          </reference>
        </references>
      </pivotArea>
    </chartFormat>
    <chartFormat chart="3" format="21" series="1">
      <pivotArea type="data" outline="0" fieldPosition="0">
        <references count="2">
          <reference field="4294967294" count="1" selected="0">
            <x v="0"/>
          </reference>
          <reference field="0" count="1" selected="0">
            <x v="1"/>
          </reference>
        </references>
      </pivotArea>
    </chartFormat>
    <chartFormat chart="3" format="22" series="1">
      <pivotArea type="data" outline="0" fieldPosition="0">
        <references count="2">
          <reference field="4294967294" count="1" selected="0">
            <x v="0"/>
          </reference>
          <reference field="0" count="1" selected="0">
            <x v="2"/>
          </reference>
        </references>
      </pivotArea>
    </chartFormat>
    <chartFormat chart="3" format="23" series="1">
      <pivotArea type="data" outline="0" fieldPosition="0">
        <references count="2">
          <reference field="4294967294" count="1" selected="0">
            <x v="0"/>
          </reference>
          <reference field="0" count="1" selected="0">
            <x v="3"/>
          </reference>
        </references>
      </pivotArea>
    </chartFormat>
    <chartFormat chart="3" format="24" series="1">
      <pivotArea type="data" outline="0" fieldPosition="0">
        <references count="2">
          <reference field="4294967294" count="1" selected="0">
            <x v="0"/>
          </reference>
          <reference field="0" count="1" selected="0">
            <x v="4"/>
          </reference>
        </references>
      </pivotArea>
    </chartFormat>
    <chartFormat chart="3" format="25" series="1">
      <pivotArea type="data" outline="0" fieldPosition="0">
        <references count="2">
          <reference field="4294967294" count="1" selected="0">
            <x v="0"/>
          </reference>
          <reference field="0" count="1" selected="0">
            <x v="5"/>
          </reference>
        </references>
      </pivotArea>
    </chartFormat>
    <chartFormat chart="3" format="26" series="1">
      <pivotArea type="data" outline="0" fieldPosition="0">
        <references count="2">
          <reference field="4294967294" count="1" selected="0">
            <x v="0"/>
          </reference>
          <reference field="0" count="1" selected="0">
            <x v="6"/>
          </reference>
        </references>
      </pivotArea>
    </chartFormat>
    <chartFormat chart="3" format="27" series="1">
      <pivotArea type="data" outline="0" fieldPosition="0">
        <references count="2">
          <reference field="4294967294" count="1" selected="0">
            <x v="0"/>
          </reference>
          <reference field="0" count="1" selected="0">
            <x v="7"/>
          </reference>
        </references>
      </pivotArea>
    </chartFormat>
    <chartFormat chart="3" format="28" series="1">
      <pivotArea type="data" outline="0" fieldPosition="0">
        <references count="2">
          <reference field="4294967294" count="1" selected="0">
            <x v="0"/>
          </reference>
          <reference field="0" count="1" selected="0">
            <x v="8"/>
          </reference>
        </references>
      </pivotArea>
    </chartFormat>
    <chartFormat chart="3" format="29" series="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BAF7F5-5251-44E0-8163-EE932A0E541B}"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L14" firstHeaderRow="1" firstDataRow="2" firstDataCol="1"/>
  <pivotFields count="6">
    <pivotField axis="axisCol" showAll="0">
      <items count="11">
        <item x="0"/>
        <item x="1"/>
        <item x="2"/>
        <item x="3"/>
        <item x="4"/>
        <item x="5"/>
        <item x="6"/>
        <item x="7"/>
        <item x="8"/>
        <item x="9"/>
        <item t="default"/>
      </items>
    </pivotField>
    <pivotField axis="axisRow" showAll="0">
      <items count="10">
        <item x="8"/>
        <item x="7"/>
        <item x="6"/>
        <item x="5"/>
        <item x="4"/>
        <item x="3"/>
        <item x="2"/>
        <item x="1"/>
        <item x="0"/>
        <item t="default"/>
      </items>
    </pivotField>
    <pivotField numFmtId="2" showAll="0"/>
    <pivotField numFmtId="2" showAll="0"/>
    <pivotField numFmtId="2" showAll="0"/>
    <pivotField dataField="1" numFmtId="2" showAll="0"/>
  </pivotFields>
  <rowFields count="1">
    <field x="1"/>
  </rowFields>
  <rowItems count="10">
    <i>
      <x/>
    </i>
    <i>
      <x v="1"/>
    </i>
    <i>
      <x v="2"/>
    </i>
    <i>
      <x v="3"/>
    </i>
    <i>
      <x v="4"/>
    </i>
    <i>
      <x v="5"/>
    </i>
    <i>
      <x v="6"/>
    </i>
    <i>
      <x v="7"/>
    </i>
    <i>
      <x v="8"/>
    </i>
    <i t="grand">
      <x/>
    </i>
  </rowItems>
  <colFields count="1">
    <field x="0"/>
  </colFields>
  <colItems count="11">
    <i>
      <x/>
    </i>
    <i>
      <x v="1"/>
    </i>
    <i>
      <x v="2"/>
    </i>
    <i>
      <x v="3"/>
    </i>
    <i>
      <x v="4"/>
    </i>
    <i>
      <x v="5"/>
    </i>
    <i>
      <x v="6"/>
    </i>
    <i>
      <x v="7"/>
    </i>
    <i>
      <x v="8"/>
    </i>
    <i>
      <x v="9"/>
    </i>
    <i t="grand">
      <x/>
    </i>
  </colItems>
  <dataFields count="1">
    <dataField name="Sum of share_global_co2" fld="5" baseField="0" baseItem="0" numFmtId="2"/>
  </dataFields>
  <formats count="10">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0" type="button" dataOnly="0" labelOnly="1" outline="0" axis="axisCol" fieldPosition="0"/>
    </format>
    <format dxfId="235">
      <pivotArea type="topRight" dataOnly="0" labelOnly="1" outline="0" fieldPosition="0"/>
    </format>
    <format dxfId="234">
      <pivotArea field="1" type="button" dataOnly="0" labelOnly="1" outline="0" axis="axisRow" fieldPosition="0"/>
    </format>
    <format dxfId="233">
      <pivotArea dataOnly="0" labelOnly="1" fieldPosition="0">
        <references count="1">
          <reference field="1" count="0"/>
        </references>
      </pivotArea>
    </format>
    <format dxfId="232">
      <pivotArea dataOnly="0" labelOnly="1" grandRow="1" outline="0" fieldPosition="0"/>
    </format>
    <format dxfId="231">
      <pivotArea dataOnly="0" labelOnly="1" fieldPosition="0">
        <references count="1">
          <reference field="0" count="0"/>
        </references>
      </pivotArea>
    </format>
    <format dxfId="230">
      <pivotArea dataOnly="0" labelOnly="1" grandCol="1" outline="0" fieldPosition="0"/>
    </format>
  </formats>
  <chartFormats count="20">
    <chartFormat chart="13" format="20" series="1">
      <pivotArea type="data" outline="0" fieldPosition="0">
        <references count="2">
          <reference field="4294967294" count="1" selected="0">
            <x v="0"/>
          </reference>
          <reference field="0" count="1" selected="0">
            <x v="0"/>
          </reference>
        </references>
      </pivotArea>
    </chartFormat>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4"/>
          </reference>
        </references>
      </pivotArea>
    </chartFormat>
    <chartFormat chart="13" format="25" series="1">
      <pivotArea type="data" outline="0" fieldPosition="0">
        <references count="2">
          <reference field="4294967294" count="1" selected="0">
            <x v="0"/>
          </reference>
          <reference field="0" count="1" selected="0">
            <x v="5"/>
          </reference>
        </references>
      </pivotArea>
    </chartFormat>
    <chartFormat chart="13" format="26" series="1">
      <pivotArea type="data" outline="0" fieldPosition="0">
        <references count="2">
          <reference field="4294967294" count="1" selected="0">
            <x v="0"/>
          </reference>
          <reference field="0" count="1" selected="0">
            <x v="6"/>
          </reference>
        </references>
      </pivotArea>
    </chartFormat>
    <chartFormat chart="13" format="27" series="1">
      <pivotArea type="data" outline="0" fieldPosition="0">
        <references count="2">
          <reference field="4294967294" count="1" selected="0">
            <x v="0"/>
          </reference>
          <reference field="0" count="1" selected="0">
            <x v="7"/>
          </reference>
        </references>
      </pivotArea>
    </chartFormat>
    <chartFormat chart="13" format="28" series="1">
      <pivotArea type="data" outline="0" fieldPosition="0">
        <references count="2">
          <reference field="4294967294" count="1" selected="0">
            <x v="0"/>
          </reference>
          <reference field="0" count="1" selected="0">
            <x v="8"/>
          </reference>
        </references>
      </pivotArea>
    </chartFormat>
    <chartFormat chart="13" format="29" series="1">
      <pivotArea type="data" outline="0" fieldPosition="0">
        <references count="2">
          <reference field="4294967294" count="1" selected="0">
            <x v="0"/>
          </reference>
          <reference field="0" count="1" selected="0">
            <x v="9"/>
          </reference>
        </references>
      </pivotArea>
    </chartFormat>
    <chartFormat chart="14" format="0" series="1">
      <pivotArea type="data" outline="0" fieldPosition="0">
        <references count="2">
          <reference field="4294967294" count="1" selected="0">
            <x v="0"/>
          </reference>
          <reference field="0" count="1" selected="0">
            <x v="0"/>
          </reference>
        </references>
      </pivotArea>
    </chartFormat>
    <chartFormat chart="14" format="1" series="1">
      <pivotArea type="data" outline="0" fieldPosition="0">
        <references count="2">
          <reference field="4294967294" count="1" selected="0">
            <x v="0"/>
          </reference>
          <reference field="0" count="1" selected="0">
            <x v="1"/>
          </reference>
        </references>
      </pivotArea>
    </chartFormat>
    <chartFormat chart="14" format="2" series="1">
      <pivotArea type="data" outline="0" fieldPosition="0">
        <references count="2">
          <reference field="4294967294" count="1" selected="0">
            <x v="0"/>
          </reference>
          <reference field="0" count="1" selected="0">
            <x v="2"/>
          </reference>
        </references>
      </pivotArea>
    </chartFormat>
    <chartFormat chart="14" format="3" series="1">
      <pivotArea type="data" outline="0" fieldPosition="0">
        <references count="2">
          <reference field="4294967294" count="1" selected="0">
            <x v="0"/>
          </reference>
          <reference field="0" count="1" selected="0">
            <x v="3"/>
          </reference>
        </references>
      </pivotArea>
    </chartFormat>
    <chartFormat chart="14" format="4" series="1">
      <pivotArea type="data" outline="0" fieldPosition="0">
        <references count="2">
          <reference field="4294967294" count="1" selected="0">
            <x v="0"/>
          </reference>
          <reference field="0" count="1" selected="0">
            <x v="4"/>
          </reference>
        </references>
      </pivotArea>
    </chartFormat>
    <chartFormat chart="14" format="5" series="1">
      <pivotArea type="data" outline="0" fieldPosition="0">
        <references count="2">
          <reference field="4294967294" count="1" selected="0">
            <x v="0"/>
          </reference>
          <reference field="0" count="1" selected="0">
            <x v="5"/>
          </reference>
        </references>
      </pivotArea>
    </chartFormat>
    <chartFormat chart="14" format="6" series="1">
      <pivotArea type="data" outline="0" fieldPosition="0">
        <references count="2">
          <reference field="4294967294" count="1" selected="0">
            <x v="0"/>
          </reference>
          <reference field="0" count="1" selected="0">
            <x v="6"/>
          </reference>
        </references>
      </pivotArea>
    </chartFormat>
    <chartFormat chart="14" format="7" series="1">
      <pivotArea type="data" outline="0" fieldPosition="0">
        <references count="2">
          <reference field="4294967294" count="1" selected="0">
            <x v="0"/>
          </reference>
          <reference field="0" count="1" selected="0">
            <x v="7"/>
          </reference>
        </references>
      </pivotArea>
    </chartFormat>
    <chartFormat chart="14" format="8" series="1">
      <pivotArea type="data" outline="0" fieldPosition="0">
        <references count="2">
          <reference field="4294967294" count="1" selected="0">
            <x v="0"/>
          </reference>
          <reference field="0" count="1" selected="0">
            <x v="8"/>
          </reference>
        </references>
      </pivotArea>
    </chartFormat>
    <chartFormat chart="14" format="9" series="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3446BE-3EC6-4DC2-A9AD-467F31968741}"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L14" firstHeaderRow="1" firstDataRow="2" firstDataCol="1"/>
  <pivotFields count="6">
    <pivotField axis="axisCol" showAll="0">
      <items count="11">
        <item x="0"/>
        <item x="1"/>
        <item x="2"/>
        <item x="3"/>
        <item x="4"/>
        <item x="5"/>
        <item x="6"/>
        <item x="7"/>
        <item x="8"/>
        <item x="9"/>
        <item t="default"/>
      </items>
    </pivotField>
    <pivotField axis="axisRow" showAll="0">
      <items count="10">
        <item x="8"/>
        <item x="7"/>
        <item x="6"/>
        <item x="5"/>
        <item x="4"/>
        <item x="3"/>
        <item x="2"/>
        <item x="1"/>
        <item x="0"/>
        <item t="default"/>
      </items>
    </pivotField>
    <pivotField numFmtId="2" showAll="0"/>
    <pivotField dataField="1" numFmtId="2" showAll="0"/>
    <pivotField numFmtId="2" showAll="0"/>
    <pivotField numFmtId="2" showAll="0"/>
  </pivotFields>
  <rowFields count="1">
    <field x="1"/>
  </rowFields>
  <rowItems count="10">
    <i>
      <x/>
    </i>
    <i>
      <x v="1"/>
    </i>
    <i>
      <x v="2"/>
    </i>
    <i>
      <x v="3"/>
    </i>
    <i>
      <x v="4"/>
    </i>
    <i>
      <x v="5"/>
    </i>
    <i>
      <x v="6"/>
    </i>
    <i>
      <x v="7"/>
    </i>
    <i>
      <x v="8"/>
    </i>
    <i t="grand">
      <x/>
    </i>
  </rowItems>
  <colFields count="1">
    <field x="0"/>
  </colFields>
  <colItems count="11">
    <i>
      <x/>
    </i>
    <i>
      <x v="1"/>
    </i>
    <i>
      <x v="2"/>
    </i>
    <i>
      <x v="3"/>
    </i>
    <i>
      <x v="4"/>
    </i>
    <i>
      <x v="5"/>
    </i>
    <i>
      <x v="6"/>
    </i>
    <i>
      <x v="7"/>
    </i>
    <i>
      <x v="8"/>
    </i>
    <i>
      <x v="9"/>
    </i>
    <i t="grand">
      <x/>
    </i>
  </colItems>
  <dataFields count="1">
    <dataField name="Sum of co2_growth_prct" fld="3" baseField="0" baseItem="0" numFmtId="2"/>
  </dataFields>
  <chartFormats count="10">
    <chartFormat chart="3" format="20" series="1">
      <pivotArea type="data" outline="0" fieldPosition="0">
        <references count="2">
          <reference field="4294967294" count="1" selected="0">
            <x v="0"/>
          </reference>
          <reference field="0" count="1" selected="0">
            <x v="0"/>
          </reference>
        </references>
      </pivotArea>
    </chartFormat>
    <chartFormat chart="3" format="21" series="1">
      <pivotArea type="data" outline="0" fieldPosition="0">
        <references count="2">
          <reference field="4294967294" count="1" selected="0">
            <x v="0"/>
          </reference>
          <reference field="0" count="1" selected="0">
            <x v="1"/>
          </reference>
        </references>
      </pivotArea>
    </chartFormat>
    <chartFormat chart="3" format="22" series="1">
      <pivotArea type="data" outline="0" fieldPosition="0">
        <references count="2">
          <reference field="4294967294" count="1" selected="0">
            <x v="0"/>
          </reference>
          <reference field="0" count="1" selected="0">
            <x v="2"/>
          </reference>
        </references>
      </pivotArea>
    </chartFormat>
    <chartFormat chart="3" format="23" series="1">
      <pivotArea type="data" outline="0" fieldPosition="0">
        <references count="2">
          <reference field="4294967294" count="1" selected="0">
            <x v="0"/>
          </reference>
          <reference field="0" count="1" selected="0">
            <x v="3"/>
          </reference>
        </references>
      </pivotArea>
    </chartFormat>
    <chartFormat chart="3" format="24" series="1">
      <pivotArea type="data" outline="0" fieldPosition="0">
        <references count="2">
          <reference field="4294967294" count="1" selected="0">
            <x v="0"/>
          </reference>
          <reference field="0" count="1" selected="0">
            <x v="4"/>
          </reference>
        </references>
      </pivotArea>
    </chartFormat>
    <chartFormat chart="3" format="25" series="1">
      <pivotArea type="data" outline="0" fieldPosition="0">
        <references count="2">
          <reference field="4294967294" count="1" selected="0">
            <x v="0"/>
          </reference>
          <reference field="0" count="1" selected="0">
            <x v="5"/>
          </reference>
        </references>
      </pivotArea>
    </chartFormat>
    <chartFormat chart="3" format="26" series="1">
      <pivotArea type="data" outline="0" fieldPosition="0">
        <references count="2">
          <reference field="4294967294" count="1" selected="0">
            <x v="0"/>
          </reference>
          <reference field="0" count="1" selected="0">
            <x v="6"/>
          </reference>
        </references>
      </pivotArea>
    </chartFormat>
    <chartFormat chart="3" format="27" series="1">
      <pivotArea type="data" outline="0" fieldPosition="0">
        <references count="2">
          <reference field="4294967294" count="1" selected="0">
            <x v="0"/>
          </reference>
          <reference field="0" count="1" selected="0">
            <x v="7"/>
          </reference>
        </references>
      </pivotArea>
    </chartFormat>
    <chartFormat chart="3" format="28" series="1">
      <pivotArea type="data" outline="0" fieldPosition="0">
        <references count="2">
          <reference field="4294967294" count="1" selected="0">
            <x v="0"/>
          </reference>
          <reference field="0" count="1" selected="0">
            <x v="8"/>
          </reference>
        </references>
      </pivotArea>
    </chartFormat>
    <chartFormat chart="3" format="29" series="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F43456-E16F-48B8-A834-431AA26261F7}" sourceName="year">
  <pivotTables>
    <pivotTable tabId="8" name="PivotTable5"/>
    <pivotTable tabId="10" name="PivotTable7"/>
    <pivotTable tabId="11" name="PivotTable8"/>
    <pivotTable tabId="9" name="PivotTable6"/>
  </pivotTables>
  <data>
    <tabular pivotCacheId="203897091">
      <items count="9">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BF59CCE-8F90-449E-8C71-06A226370353}" sourceName="country">
  <pivotTables>
    <pivotTable tabId="8" name="PivotTable5"/>
    <pivotTable tabId="10" name="PivotTable7"/>
    <pivotTable tabId="11" name="PivotTable8"/>
    <pivotTable tabId="9" name="PivotTable6"/>
  </pivotTables>
  <data>
    <tabular pivotCacheId="203897091">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1139F83-232C-4AFB-8E0A-D220DBA772E1}" cache="Slicer_year" caption="year" rowHeight="241300"/>
  <slicer name="country" xr10:uid="{B260D9EC-1F5A-48F3-8933-6902C51A215C}" cache="Slicer_country" caption="country" startIte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E4103DA-A9F9-46E4-B8FC-9D3FE3001CC3}" cache="Slicer_year" caption="year" rowHeight="241300"/>
  <slicer name="country 1" xr10:uid="{09DBAE79-ABC7-43F8-8262-7F79ABE9F55C}"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19ED-0159-412B-A6E9-DCB0AB6CB921}">
  <dimension ref="A3:L14"/>
  <sheetViews>
    <sheetView topLeftCell="A2" workbookViewId="0">
      <selection activeCell="I8" sqref="A3:L14"/>
    </sheetView>
  </sheetViews>
  <sheetFormatPr defaultRowHeight="14.5" x14ac:dyDescent="0.35"/>
  <cols>
    <col min="1" max="1" width="12.36328125" bestFit="1" customWidth="1"/>
    <col min="2" max="2" width="15.26953125" bestFit="1" customWidth="1"/>
    <col min="3" max="3" width="7.36328125" bestFit="1" customWidth="1"/>
    <col min="4" max="4" width="8.36328125" bestFit="1" customWidth="1"/>
    <col min="5" max="5" width="8.453125" bestFit="1" customWidth="1"/>
    <col min="6" max="6" width="8.36328125" bestFit="1" customWidth="1"/>
    <col min="7" max="7" width="9" bestFit="1" customWidth="1"/>
    <col min="8" max="8" width="7.36328125" bestFit="1" customWidth="1"/>
    <col min="9" max="9" width="8.36328125" bestFit="1" customWidth="1"/>
    <col min="10" max="10" width="14.36328125" bestFit="1" customWidth="1"/>
    <col min="11" max="11" width="12.08984375" bestFit="1" customWidth="1"/>
    <col min="12" max="12" width="10.7265625" bestFit="1" customWidth="1"/>
  </cols>
  <sheetData>
    <row r="3" spans="1:12" x14ac:dyDescent="0.35">
      <c r="A3" s="7" t="s">
        <v>19</v>
      </c>
      <c r="B3" s="7" t="s">
        <v>16</v>
      </c>
    </row>
    <row r="4" spans="1:12" x14ac:dyDescent="0.35">
      <c r="A4" s="7" t="s">
        <v>18</v>
      </c>
      <c r="B4" t="s">
        <v>6</v>
      </c>
      <c r="C4" t="s">
        <v>7</v>
      </c>
      <c r="D4" t="s">
        <v>8</v>
      </c>
      <c r="E4" t="s">
        <v>9</v>
      </c>
      <c r="F4" t="s">
        <v>10</v>
      </c>
      <c r="G4" t="s">
        <v>11</v>
      </c>
      <c r="H4" t="s">
        <v>12</v>
      </c>
      <c r="I4" t="s">
        <v>13</v>
      </c>
      <c r="J4" t="s">
        <v>14</v>
      </c>
      <c r="K4" t="s">
        <v>15</v>
      </c>
      <c r="L4" t="s">
        <v>17</v>
      </c>
    </row>
    <row r="5" spans="1:12" x14ac:dyDescent="0.35">
      <c r="A5" s="8">
        <v>2015</v>
      </c>
      <c r="B5" s="12">
        <v>528.17399999999998</v>
      </c>
      <c r="C5" s="12">
        <v>563.00300000000004</v>
      </c>
      <c r="D5" s="12">
        <v>9858.0400000000009</v>
      </c>
      <c r="E5" s="12">
        <v>800.82299999999998</v>
      </c>
      <c r="F5" s="12">
        <v>2231.817</v>
      </c>
      <c r="G5" s="12">
        <v>551.16</v>
      </c>
      <c r="H5" s="12">
        <v>1219.982</v>
      </c>
      <c r="I5" s="12">
        <v>1635.2439999999999</v>
      </c>
      <c r="J5" s="12">
        <v>422.46100000000001</v>
      </c>
      <c r="K5" s="12">
        <v>5368.4970000000003</v>
      </c>
      <c r="L5" s="12">
        <v>23179.200999999997</v>
      </c>
    </row>
    <row r="6" spans="1:12" x14ac:dyDescent="0.35">
      <c r="A6" s="8">
        <v>2016</v>
      </c>
      <c r="B6" s="12">
        <v>491.745</v>
      </c>
      <c r="C6" s="12">
        <v>553.70699999999999</v>
      </c>
      <c r="D6" s="12">
        <v>9748.1749999999993</v>
      </c>
      <c r="E6" s="12">
        <v>797.98800000000006</v>
      </c>
      <c r="F6" s="12">
        <v>2352.54</v>
      </c>
      <c r="G6" s="12">
        <v>547.96900000000005</v>
      </c>
      <c r="H6" s="12">
        <v>1199.933</v>
      </c>
      <c r="I6" s="12">
        <v>1629.328</v>
      </c>
      <c r="J6" s="12">
        <v>399.43</v>
      </c>
      <c r="K6" s="12">
        <v>5245.3620000000001</v>
      </c>
      <c r="L6" s="12">
        <v>22966.177000000003</v>
      </c>
    </row>
    <row r="7" spans="1:12" x14ac:dyDescent="0.35">
      <c r="A7" s="8">
        <v>2017</v>
      </c>
      <c r="B7" s="12">
        <v>497.255</v>
      </c>
      <c r="C7" s="12">
        <v>566.66</v>
      </c>
      <c r="D7" s="12">
        <v>10000.013999999999</v>
      </c>
      <c r="E7" s="12">
        <v>784.59500000000003</v>
      </c>
      <c r="F7" s="12">
        <v>2425.7220000000002</v>
      </c>
      <c r="G7" s="12">
        <v>570.928</v>
      </c>
      <c r="H7" s="12">
        <v>1184.3920000000001</v>
      </c>
      <c r="I7" s="12">
        <v>1661.0119999999999</v>
      </c>
      <c r="J7" s="12">
        <v>387.36700000000002</v>
      </c>
      <c r="K7" s="12">
        <v>5195.4170000000004</v>
      </c>
      <c r="L7" s="12">
        <v>23273.361999999997</v>
      </c>
    </row>
    <row r="8" spans="1:12" x14ac:dyDescent="0.35">
      <c r="A8" s="8">
        <v>2018</v>
      </c>
      <c r="B8" s="12">
        <v>476.601</v>
      </c>
      <c r="C8" s="12">
        <v>575.09100000000001</v>
      </c>
      <c r="D8" s="12">
        <v>10346.790000000001</v>
      </c>
      <c r="E8" s="12">
        <v>758.77099999999996</v>
      </c>
      <c r="F8" s="12">
        <v>2595.2269999999999</v>
      </c>
      <c r="G8" s="12">
        <v>607.37800000000004</v>
      </c>
      <c r="H8" s="12">
        <v>1138.55</v>
      </c>
      <c r="I8" s="12">
        <v>1709.91</v>
      </c>
      <c r="J8" s="12">
        <v>379.73</v>
      </c>
      <c r="K8" s="12">
        <v>5361.2359999999999</v>
      </c>
      <c r="L8" s="12">
        <v>23949.284</v>
      </c>
    </row>
    <row r="9" spans="1:12" x14ac:dyDescent="0.35">
      <c r="A9" s="8">
        <v>2019</v>
      </c>
      <c r="B9" s="12">
        <v>476.72399999999999</v>
      </c>
      <c r="C9" s="12">
        <v>579.00699999999995</v>
      </c>
      <c r="D9" s="12">
        <v>10713.514999999999</v>
      </c>
      <c r="E9" s="12">
        <v>708.649</v>
      </c>
      <c r="F9" s="12">
        <v>2611.1750000000002</v>
      </c>
      <c r="G9" s="12">
        <v>665.04899999999998</v>
      </c>
      <c r="H9" s="12">
        <v>1102.0630000000001</v>
      </c>
      <c r="I9" s="12">
        <v>1704.4590000000001</v>
      </c>
      <c r="J9" s="12">
        <v>364.75299999999999</v>
      </c>
      <c r="K9" s="12">
        <v>5235.9120000000003</v>
      </c>
      <c r="L9" s="12">
        <v>24161.306</v>
      </c>
    </row>
    <row r="10" spans="1:12" x14ac:dyDescent="0.35">
      <c r="A10" s="8">
        <v>2020</v>
      </c>
      <c r="B10" s="12">
        <v>447.99900000000002</v>
      </c>
      <c r="C10" s="12">
        <v>524.20799999999997</v>
      </c>
      <c r="D10" s="12">
        <v>10896.521000000001</v>
      </c>
      <c r="E10" s="12">
        <v>647.17700000000002</v>
      </c>
      <c r="F10" s="12">
        <v>2422.732</v>
      </c>
      <c r="G10" s="12">
        <v>623.30399999999997</v>
      </c>
      <c r="H10" s="12">
        <v>1037.2850000000001</v>
      </c>
      <c r="I10" s="12">
        <v>1631.902</v>
      </c>
      <c r="J10" s="12">
        <v>326.26299999999998</v>
      </c>
      <c r="K10" s="12">
        <v>4689.9539999999997</v>
      </c>
      <c r="L10" s="12">
        <v>23247.345000000001</v>
      </c>
    </row>
    <row r="11" spans="1:12" x14ac:dyDescent="0.35">
      <c r="A11" s="8">
        <v>2021</v>
      </c>
      <c r="B11" s="12">
        <v>496.56200000000001</v>
      </c>
      <c r="C11" s="12">
        <v>537.47900000000004</v>
      </c>
      <c r="D11" s="12">
        <v>11284.401</v>
      </c>
      <c r="E11" s="12">
        <v>677.99800000000005</v>
      </c>
      <c r="F11" s="12">
        <v>2675.7779999999998</v>
      </c>
      <c r="G11" s="12">
        <v>632.94600000000003</v>
      </c>
      <c r="H11" s="12">
        <v>1058.502</v>
      </c>
      <c r="I11" s="12">
        <v>1674.5239999999999</v>
      </c>
      <c r="J11" s="12">
        <v>342.36599999999999</v>
      </c>
      <c r="K11" s="12">
        <v>5020.1109999999999</v>
      </c>
      <c r="L11" s="12">
        <v>24400.666999999998</v>
      </c>
    </row>
    <row r="12" spans="1:12" x14ac:dyDescent="0.35">
      <c r="A12" s="8">
        <v>2022</v>
      </c>
      <c r="B12" s="12">
        <v>480.05799999999999</v>
      </c>
      <c r="C12" s="12">
        <v>547.65800000000002</v>
      </c>
      <c r="D12" s="12">
        <v>11711.808000000001</v>
      </c>
      <c r="E12" s="12">
        <v>667.84299999999996</v>
      </c>
      <c r="F12" s="12">
        <v>2831.1320000000001</v>
      </c>
      <c r="G12" s="12">
        <v>758.02099999999996</v>
      </c>
      <c r="H12" s="12">
        <v>1029.645</v>
      </c>
      <c r="I12" s="12">
        <v>1675.461</v>
      </c>
      <c r="J12" s="12">
        <v>311.11799999999999</v>
      </c>
      <c r="K12" s="12">
        <v>5055.4030000000002</v>
      </c>
      <c r="L12" s="12">
        <v>25068.146999999997</v>
      </c>
    </row>
    <row r="13" spans="1:12" x14ac:dyDescent="0.35">
      <c r="A13" s="8">
        <v>2023</v>
      </c>
      <c r="B13" s="12">
        <v>483.99200000000002</v>
      </c>
      <c r="C13" s="12">
        <v>545.47900000000004</v>
      </c>
      <c r="D13" s="12">
        <v>12172.009</v>
      </c>
      <c r="E13" s="12">
        <v>593.76599999999996</v>
      </c>
      <c r="F13" s="12">
        <v>3062.7559999999999</v>
      </c>
      <c r="G13" s="12">
        <v>762.35799999999995</v>
      </c>
      <c r="H13" s="12">
        <v>986.91</v>
      </c>
      <c r="I13" s="12">
        <v>1733.135</v>
      </c>
      <c r="J13" s="12">
        <v>307.82600000000002</v>
      </c>
      <c r="K13" s="12">
        <v>4918.4070000000002</v>
      </c>
      <c r="L13" s="12">
        <v>25566.637999999999</v>
      </c>
    </row>
    <row r="14" spans="1:12" x14ac:dyDescent="0.35">
      <c r="A14" s="8" t="s">
        <v>17</v>
      </c>
      <c r="B14" s="12">
        <v>4379.1100000000006</v>
      </c>
      <c r="C14" s="12">
        <v>4992.2920000000004</v>
      </c>
      <c r="D14" s="12">
        <v>96731.273000000016</v>
      </c>
      <c r="E14" s="12">
        <v>6437.61</v>
      </c>
      <c r="F14" s="12">
        <v>23208.879000000001</v>
      </c>
      <c r="G14" s="12">
        <v>5719.1130000000003</v>
      </c>
      <c r="H14" s="12">
        <v>9957.2620000000006</v>
      </c>
      <c r="I14" s="12">
        <v>15054.974999999999</v>
      </c>
      <c r="J14" s="12">
        <v>3241.3139999999999</v>
      </c>
      <c r="K14" s="12">
        <v>46090.298999999999</v>
      </c>
      <c r="L14" s="12">
        <v>215812.12699999998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8C33-B1E9-40A2-8C5F-593270891F85}">
  <sheetPr>
    <pageSetUpPr fitToPage="1"/>
  </sheetPr>
  <dimension ref="A1"/>
  <sheetViews>
    <sheetView tabSelected="1" zoomScale="56" zoomScaleNormal="93" workbookViewId="0">
      <selection activeCell="F12" sqref="F12"/>
    </sheetView>
  </sheetViews>
  <sheetFormatPr defaultRowHeight="14.5" x14ac:dyDescent="0.35"/>
  <sheetData/>
  <pageMargins left="0.25" right="0.25"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D253B-7BCE-4D8F-B9FF-D36EAC0A66DA}">
  <dimension ref="A3:L14"/>
  <sheetViews>
    <sheetView workbookViewId="0">
      <selection activeCell="D9" sqref="A3:L14"/>
    </sheetView>
  </sheetViews>
  <sheetFormatPr defaultRowHeight="14.5" x14ac:dyDescent="0.35"/>
  <cols>
    <col min="1" max="1" width="23.26953125" bestFit="1" customWidth="1"/>
    <col min="2" max="2" width="15.26953125" bestFit="1" customWidth="1"/>
    <col min="3" max="3" width="7.08984375" bestFit="1" customWidth="1"/>
    <col min="4" max="4" width="5.54296875" bestFit="1" customWidth="1"/>
    <col min="5" max="5" width="8.453125" bestFit="1" customWidth="1"/>
    <col min="6" max="6" width="5" bestFit="1" customWidth="1"/>
    <col min="7" max="7" width="9" bestFit="1" customWidth="1"/>
    <col min="8" max="8" width="5.6328125" bestFit="1" customWidth="1"/>
    <col min="9" max="9" width="6.08984375" bestFit="1" customWidth="1"/>
    <col min="10" max="10" width="14.36328125" bestFit="1" customWidth="1"/>
    <col min="11" max="11" width="12.08984375" bestFit="1" customWidth="1"/>
    <col min="12" max="12" width="10.7265625" bestFit="1" customWidth="1"/>
  </cols>
  <sheetData>
    <row r="3" spans="1:12" x14ac:dyDescent="0.35">
      <c r="A3" s="7" t="s">
        <v>20</v>
      </c>
      <c r="B3" s="7" t="s">
        <v>16</v>
      </c>
    </row>
    <row r="4" spans="1:12" x14ac:dyDescent="0.35">
      <c r="A4" s="7" t="s">
        <v>18</v>
      </c>
      <c r="B4" t="s">
        <v>6</v>
      </c>
      <c r="C4" t="s">
        <v>7</v>
      </c>
      <c r="D4" t="s">
        <v>8</v>
      </c>
      <c r="E4" t="s">
        <v>9</v>
      </c>
      <c r="F4" t="s">
        <v>10</v>
      </c>
      <c r="G4" t="s">
        <v>11</v>
      </c>
      <c r="H4" t="s">
        <v>12</v>
      </c>
      <c r="I4" t="s">
        <v>13</v>
      </c>
      <c r="J4" t="s">
        <v>14</v>
      </c>
      <c r="K4" t="s">
        <v>15</v>
      </c>
      <c r="L4" t="s">
        <v>17</v>
      </c>
    </row>
    <row r="5" spans="1:12" x14ac:dyDescent="0.35">
      <c r="A5" s="8">
        <v>2015</v>
      </c>
      <c r="B5" s="12">
        <v>2.6190000000000002</v>
      </c>
      <c r="C5" s="12">
        <v>15.654999999999999</v>
      </c>
      <c r="D5" s="12">
        <v>7.0609999999999999</v>
      </c>
      <c r="E5" s="12">
        <v>9.7569999999999997</v>
      </c>
      <c r="F5" s="12">
        <v>1.681</v>
      </c>
      <c r="G5" s="12">
        <v>2.105</v>
      </c>
      <c r="H5" s="12">
        <v>9.5850000000000009</v>
      </c>
      <c r="I5" s="12">
        <v>11.254</v>
      </c>
      <c r="J5" s="12">
        <v>6.4610000000000003</v>
      </c>
      <c r="K5" s="12">
        <v>16.460999999999999</v>
      </c>
      <c r="L5" s="12">
        <v>8.2638999999999996</v>
      </c>
    </row>
    <row r="6" spans="1:12" x14ac:dyDescent="0.35">
      <c r="A6" s="8">
        <v>2016</v>
      </c>
      <c r="B6" s="12">
        <v>2.42</v>
      </c>
      <c r="C6" s="12">
        <v>15.231</v>
      </c>
      <c r="D6" s="12">
        <v>6.9429999999999996</v>
      </c>
      <c r="E6" s="12">
        <v>9.6419999999999995</v>
      </c>
      <c r="F6" s="12">
        <v>1.75</v>
      </c>
      <c r="G6" s="12">
        <v>2.0710000000000002</v>
      </c>
      <c r="H6" s="12">
        <v>9.4359999999999999</v>
      </c>
      <c r="I6" s="12">
        <v>11.177</v>
      </c>
      <c r="J6" s="12">
        <v>6.0620000000000003</v>
      </c>
      <c r="K6" s="12">
        <v>15.935</v>
      </c>
      <c r="L6" s="12">
        <v>8.0667000000000009</v>
      </c>
    </row>
    <row r="7" spans="1:12" x14ac:dyDescent="0.35">
      <c r="A7" s="8">
        <v>2017</v>
      </c>
      <c r="B7" s="12">
        <v>2.4289999999999998</v>
      </c>
      <c r="C7" s="12">
        <v>15.395</v>
      </c>
      <c r="D7" s="12">
        <v>7.08</v>
      </c>
      <c r="E7" s="12">
        <v>9.4410000000000007</v>
      </c>
      <c r="F7" s="12">
        <v>1.784</v>
      </c>
      <c r="G7" s="12">
        <v>2.1360000000000001</v>
      </c>
      <c r="H7" s="12">
        <v>9.3209999999999997</v>
      </c>
      <c r="I7" s="12">
        <v>11.362</v>
      </c>
      <c r="J7" s="12">
        <v>5.8380000000000001</v>
      </c>
      <c r="K7" s="12">
        <v>15.638999999999999</v>
      </c>
      <c r="L7" s="12">
        <v>8.0425000000000004</v>
      </c>
    </row>
    <row r="8" spans="1:12" x14ac:dyDescent="0.35">
      <c r="A8" s="8">
        <v>2018</v>
      </c>
      <c r="B8" s="12">
        <v>2.3119999999999998</v>
      </c>
      <c r="C8" s="12">
        <v>15.42</v>
      </c>
      <c r="D8" s="12">
        <v>7.2919999999999998</v>
      </c>
      <c r="E8" s="12">
        <v>9.1010000000000009</v>
      </c>
      <c r="F8" s="12">
        <v>1.8879999999999999</v>
      </c>
      <c r="G8" s="12">
        <v>2.25</v>
      </c>
      <c r="H8" s="12">
        <v>8.9710000000000001</v>
      </c>
      <c r="I8" s="12">
        <v>11.677</v>
      </c>
      <c r="J8" s="12">
        <v>5.6890000000000001</v>
      </c>
      <c r="K8" s="12">
        <v>16.001000000000001</v>
      </c>
      <c r="L8" s="12">
        <v>8.0601000000000003</v>
      </c>
    </row>
    <row r="9" spans="1:12" x14ac:dyDescent="0.35">
      <c r="A9" s="8">
        <v>2019</v>
      </c>
      <c r="B9" s="12">
        <v>2.298</v>
      </c>
      <c r="C9" s="12">
        <v>15.324999999999999</v>
      </c>
      <c r="D9" s="12">
        <v>7.5259999999999998</v>
      </c>
      <c r="E9" s="12">
        <v>8.4809999999999999</v>
      </c>
      <c r="F9" s="12">
        <v>1.88</v>
      </c>
      <c r="G9" s="12">
        <v>2.4409999999999998</v>
      </c>
      <c r="H9" s="12">
        <v>8.6980000000000004</v>
      </c>
      <c r="I9" s="12">
        <v>11.632</v>
      </c>
      <c r="J9" s="12">
        <v>5.4349999999999996</v>
      </c>
      <c r="K9" s="12">
        <v>15.5</v>
      </c>
      <c r="L9" s="12">
        <v>7.9216000000000006</v>
      </c>
    </row>
    <row r="10" spans="1:12" x14ac:dyDescent="0.35">
      <c r="A10" s="8">
        <v>2020</v>
      </c>
      <c r="B10" s="12">
        <v>2.1469999999999998</v>
      </c>
      <c r="C10" s="12">
        <v>13.733000000000001</v>
      </c>
      <c r="D10" s="12">
        <v>7.641</v>
      </c>
      <c r="E10" s="12">
        <v>7.7389999999999999</v>
      </c>
      <c r="F10" s="12">
        <v>1.7270000000000001</v>
      </c>
      <c r="G10" s="12">
        <v>2.2679999999999998</v>
      </c>
      <c r="H10" s="12">
        <v>8.2129999999999992</v>
      </c>
      <c r="I10" s="12">
        <v>11.148999999999999</v>
      </c>
      <c r="J10" s="12">
        <v>4.8440000000000003</v>
      </c>
      <c r="K10" s="12">
        <v>13.817</v>
      </c>
      <c r="L10" s="12">
        <v>7.3278000000000008</v>
      </c>
    </row>
    <row r="11" spans="1:12" x14ac:dyDescent="0.35">
      <c r="A11" s="8">
        <v>2021</v>
      </c>
      <c r="B11" s="12">
        <v>2.37</v>
      </c>
      <c r="C11" s="12">
        <v>13.977</v>
      </c>
      <c r="D11" s="12">
        <v>7.9109999999999996</v>
      </c>
      <c r="E11" s="12">
        <v>8.1010000000000009</v>
      </c>
      <c r="F11" s="12">
        <v>1.8919999999999999</v>
      </c>
      <c r="G11" s="12">
        <v>2.2869999999999999</v>
      </c>
      <c r="H11" s="12">
        <v>8.4220000000000006</v>
      </c>
      <c r="I11" s="12">
        <v>11.481999999999999</v>
      </c>
      <c r="J11" s="12">
        <v>5.0590000000000002</v>
      </c>
      <c r="K11" s="12">
        <v>14.757999999999999</v>
      </c>
      <c r="L11" s="12">
        <v>7.6258999999999997</v>
      </c>
    </row>
    <row r="12" spans="1:12" x14ac:dyDescent="0.35">
      <c r="A12" s="8">
        <v>2022</v>
      </c>
      <c r="B12" s="12">
        <v>2.2829999999999999</v>
      </c>
      <c r="C12" s="12">
        <v>14.106999999999999</v>
      </c>
      <c r="D12" s="12">
        <v>8.218</v>
      </c>
      <c r="E12" s="12">
        <v>7.9420000000000002</v>
      </c>
      <c r="F12" s="12">
        <v>1.986</v>
      </c>
      <c r="G12" s="12">
        <v>2.7189999999999999</v>
      </c>
      <c r="H12" s="12">
        <v>8.2370000000000001</v>
      </c>
      <c r="I12" s="12">
        <v>11.509</v>
      </c>
      <c r="J12" s="12">
        <v>4.5629999999999997</v>
      </c>
      <c r="K12" s="12">
        <v>14.802</v>
      </c>
      <c r="L12" s="12">
        <v>7.6365999999999996</v>
      </c>
    </row>
    <row r="13" spans="1:12" x14ac:dyDescent="0.35">
      <c r="A13" s="8">
        <v>2023</v>
      </c>
      <c r="B13" s="12">
        <v>2.2919999999999998</v>
      </c>
      <c r="C13" s="12">
        <v>13.88</v>
      </c>
      <c r="D13" s="12">
        <v>8.5559999999999992</v>
      </c>
      <c r="E13" s="12">
        <v>7.0229999999999997</v>
      </c>
      <c r="F13" s="12">
        <v>2.13</v>
      </c>
      <c r="G13" s="12">
        <v>2.7109999999999999</v>
      </c>
      <c r="H13" s="12">
        <v>7.9349999999999996</v>
      </c>
      <c r="I13" s="12">
        <v>11.916</v>
      </c>
      <c r="J13" s="12">
        <v>4.4820000000000002</v>
      </c>
      <c r="K13" s="12">
        <v>14.319000000000001</v>
      </c>
      <c r="L13" s="12">
        <v>7.5244</v>
      </c>
    </row>
    <row r="14" spans="1:12" x14ac:dyDescent="0.35">
      <c r="A14" s="8" t="s">
        <v>17</v>
      </c>
      <c r="B14" s="12">
        <v>2.3522222222222222</v>
      </c>
      <c r="C14" s="12">
        <v>14.747000000000002</v>
      </c>
      <c r="D14" s="12">
        <v>7.5808888888888886</v>
      </c>
      <c r="E14" s="12">
        <v>8.5807777777777776</v>
      </c>
      <c r="F14" s="12">
        <v>1.8575555555555556</v>
      </c>
      <c r="G14" s="12">
        <v>2.3319999999999999</v>
      </c>
      <c r="H14" s="12">
        <v>8.7575555555555553</v>
      </c>
      <c r="I14" s="12">
        <v>11.461999999999998</v>
      </c>
      <c r="J14" s="12">
        <v>5.381444444444444</v>
      </c>
      <c r="K14" s="12">
        <v>15.247999999999999</v>
      </c>
      <c r="L14" s="12">
        <v>7.829944444444445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6F6E-65D3-46D7-BE8B-458D9B597932}">
  <dimension ref="A3:L26"/>
  <sheetViews>
    <sheetView workbookViewId="0">
      <selection activeCell="L13" sqref="L13"/>
    </sheetView>
  </sheetViews>
  <sheetFormatPr defaultRowHeight="14.5" x14ac:dyDescent="0.35"/>
  <cols>
    <col min="1" max="1" width="21.90625" bestFit="1" customWidth="1"/>
    <col min="2" max="2" width="15.26953125" bestFit="1" customWidth="1"/>
    <col min="3" max="3" width="7.08984375" bestFit="1" customWidth="1"/>
    <col min="4" max="4" width="6.36328125" bestFit="1" customWidth="1"/>
    <col min="5" max="5" width="8.453125" bestFit="1" customWidth="1"/>
    <col min="6" max="6" width="5.36328125" bestFit="1" customWidth="1"/>
    <col min="7" max="7" width="9" bestFit="1" customWidth="1"/>
    <col min="8" max="8" width="5.6328125" bestFit="1" customWidth="1"/>
    <col min="9" max="9" width="6.08984375" bestFit="1" customWidth="1"/>
    <col min="10" max="10" width="14.36328125" bestFit="1" customWidth="1"/>
    <col min="11" max="11" width="12.08984375" bestFit="1" customWidth="1"/>
    <col min="12" max="12" width="10.7265625" bestFit="1" customWidth="1"/>
  </cols>
  <sheetData>
    <row r="3" spans="1:12" x14ac:dyDescent="0.35">
      <c r="A3" s="17" t="s">
        <v>21</v>
      </c>
      <c r="B3" s="17" t="s">
        <v>16</v>
      </c>
      <c r="C3" s="12"/>
      <c r="D3" s="12"/>
      <c r="E3" s="12"/>
      <c r="F3" s="12"/>
      <c r="G3" s="12"/>
      <c r="H3" s="12"/>
      <c r="I3" s="12"/>
      <c r="J3" s="12"/>
      <c r="K3" s="12"/>
      <c r="L3" s="12"/>
    </row>
    <row r="4" spans="1:12" x14ac:dyDescent="0.35">
      <c r="A4" s="17" t="s">
        <v>18</v>
      </c>
      <c r="B4" s="12" t="s">
        <v>6</v>
      </c>
      <c r="C4" s="12" t="s">
        <v>7</v>
      </c>
      <c r="D4" s="12" t="s">
        <v>8</v>
      </c>
      <c r="E4" s="12" t="s">
        <v>9</v>
      </c>
      <c r="F4" s="12" t="s">
        <v>10</v>
      </c>
      <c r="G4" s="12" t="s">
        <v>11</v>
      </c>
      <c r="H4" s="12" t="s">
        <v>12</v>
      </c>
      <c r="I4" s="12" t="s">
        <v>13</v>
      </c>
      <c r="J4" s="12" t="s">
        <v>14</v>
      </c>
      <c r="K4" s="12" t="s">
        <v>15</v>
      </c>
      <c r="L4" s="12" t="s">
        <v>17</v>
      </c>
    </row>
    <row r="5" spans="1:12" x14ac:dyDescent="0.35">
      <c r="A5" s="18">
        <v>2015</v>
      </c>
      <c r="B5" s="12">
        <v>1.492</v>
      </c>
      <c r="C5" s="12">
        <v>1.59</v>
      </c>
      <c r="D5" s="12">
        <v>27.844999999999999</v>
      </c>
      <c r="E5" s="12">
        <v>2.262</v>
      </c>
      <c r="F5" s="12">
        <v>6.3040000000000003</v>
      </c>
      <c r="G5" s="12">
        <v>1.5569999999999999</v>
      </c>
      <c r="H5" s="12">
        <v>3.4460000000000002</v>
      </c>
      <c r="I5" s="12">
        <v>4.6189999999999998</v>
      </c>
      <c r="J5" s="12">
        <v>1.1930000000000001</v>
      </c>
      <c r="K5" s="12">
        <v>15.164</v>
      </c>
      <c r="L5" s="12">
        <v>65.471999999999994</v>
      </c>
    </row>
    <row r="6" spans="1:12" x14ac:dyDescent="0.35">
      <c r="A6" s="18">
        <v>2016</v>
      </c>
      <c r="B6" s="12">
        <v>1.389</v>
      </c>
      <c r="C6" s="12">
        <v>1.5640000000000001</v>
      </c>
      <c r="D6" s="12">
        <v>27.542999999999999</v>
      </c>
      <c r="E6" s="12">
        <v>2.2549999999999999</v>
      </c>
      <c r="F6" s="12">
        <v>6.6470000000000002</v>
      </c>
      <c r="G6" s="12">
        <v>1.548</v>
      </c>
      <c r="H6" s="12">
        <v>3.39</v>
      </c>
      <c r="I6" s="12">
        <v>4.6040000000000001</v>
      </c>
      <c r="J6" s="12">
        <v>1.129</v>
      </c>
      <c r="K6" s="12">
        <v>14.82</v>
      </c>
      <c r="L6" s="12">
        <v>64.888999999999996</v>
      </c>
    </row>
    <row r="7" spans="1:12" x14ac:dyDescent="0.35">
      <c r="A7" s="18">
        <v>2017</v>
      </c>
      <c r="B7" s="12">
        <v>1.3819999999999999</v>
      </c>
      <c r="C7" s="12">
        <v>1.575</v>
      </c>
      <c r="D7" s="12">
        <v>27.797000000000001</v>
      </c>
      <c r="E7" s="12">
        <v>2.181</v>
      </c>
      <c r="F7" s="12">
        <v>6.7430000000000003</v>
      </c>
      <c r="G7" s="12">
        <v>1.587</v>
      </c>
      <c r="H7" s="12">
        <v>3.2919999999999998</v>
      </c>
      <c r="I7" s="12">
        <v>4.617</v>
      </c>
      <c r="J7" s="12">
        <v>1.077</v>
      </c>
      <c r="K7" s="12">
        <v>14.442</v>
      </c>
      <c r="L7" s="12">
        <v>64.693000000000012</v>
      </c>
    </row>
    <row r="8" spans="1:12" x14ac:dyDescent="0.35">
      <c r="A8" s="18">
        <v>2018</v>
      </c>
      <c r="B8" s="12">
        <v>1.2969999999999999</v>
      </c>
      <c r="C8" s="12">
        <v>1.5660000000000001</v>
      </c>
      <c r="D8" s="12">
        <v>28.167000000000002</v>
      </c>
      <c r="E8" s="12">
        <v>2.0659999999999998</v>
      </c>
      <c r="F8" s="12">
        <v>7.0650000000000004</v>
      </c>
      <c r="G8" s="12">
        <v>1.653</v>
      </c>
      <c r="H8" s="12">
        <v>3.0990000000000002</v>
      </c>
      <c r="I8" s="12">
        <v>4.6550000000000002</v>
      </c>
      <c r="J8" s="12">
        <v>1.034</v>
      </c>
      <c r="K8" s="12">
        <v>14.595000000000001</v>
      </c>
      <c r="L8" s="12">
        <v>65.197000000000003</v>
      </c>
    </row>
    <row r="9" spans="1:12" x14ac:dyDescent="0.35">
      <c r="A9" s="18">
        <v>2019</v>
      </c>
      <c r="B9" s="12">
        <v>1.2849999999999999</v>
      </c>
      <c r="C9" s="12">
        <v>1.5609999999999999</v>
      </c>
      <c r="D9" s="12">
        <v>28.888000000000002</v>
      </c>
      <c r="E9" s="12">
        <v>1.911</v>
      </c>
      <c r="F9" s="12">
        <v>7.0410000000000004</v>
      </c>
      <c r="G9" s="12">
        <v>1.7929999999999999</v>
      </c>
      <c r="H9" s="12">
        <v>2.972</v>
      </c>
      <c r="I9" s="12">
        <v>4.5960000000000001</v>
      </c>
      <c r="J9" s="12">
        <v>0.98399999999999999</v>
      </c>
      <c r="K9" s="12">
        <v>14.118</v>
      </c>
      <c r="L9" s="12">
        <v>65.149000000000015</v>
      </c>
    </row>
    <row r="10" spans="1:12" x14ac:dyDescent="0.35">
      <c r="A10" s="18">
        <v>2020</v>
      </c>
      <c r="B10" s="12">
        <v>1.274</v>
      </c>
      <c r="C10" s="12">
        <v>1.4910000000000001</v>
      </c>
      <c r="D10" s="12">
        <v>30.992999999999999</v>
      </c>
      <c r="E10" s="12">
        <v>1.841</v>
      </c>
      <c r="F10" s="12">
        <v>6.891</v>
      </c>
      <c r="G10" s="12">
        <v>1.7729999999999999</v>
      </c>
      <c r="H10" s="12">
        <v>2.95</v>
      </c>
      <c r="I10" s="12">
        <v>4.6420000000000003</v>
      </c>
      <c r="J10" s="12">
        <v>0.92800000000000005</v>
      </c>
      <c r="K10" s="12">
        <v>13.34</v>
      </c>
      <c r="L10" s="12">
        <v>66.123000000000005</v>
      </c>
    </row>
    <row r="11" spans="1:12" x14ac:dyDescent="0.35">
      <c r="A11" s="18">
        <v>2021</v>
      </c>
      <c r="B11" s="12">
        <v>1.347</v>
      </c>
      <c r="C11" s="12">
        <v>1.458</v>
      </c>
      <c r="D11" s="12">
        <v>30.609000000000002</v>
      </c>
      <c r="E11" s="12">
        <v>1.839</v>
      </c>
      <c r="F11" s="12">
        <v>7.258</v>
      </c>
      <c r="G11" s="12">
        <v>1.7170000000000001</v>
      </c>
      <c r="H11" s="12">
        <v>2.871</v>
      </c>
      <c r="I11" s="12">
        <v>4.5419999999999998</v>
      </c>
      <c r="J11" s="12">
        <v>0.92900000000000005</v>
      </c>
      <c r="K11" s="12">
        <v>13.617000000000001</v>
      </c>
      <c r="L11" s="12">
        <v>66.187000000000012</v>
      </c>
    </row>
    <row r="12" spans="1:12" x14ac:dyDescent="0.35">
      <c r="A12" s="18">
        <v>2022</v>
      </c>
      <c r="B12" s="12">
        <v>1.2789999999999999</v>
      </c>
      <c r="C12" s="12">
        <v>1.4590000000000001</v>
      </c>
      <c r="D12" s="12">
        <v>31.207999999999998</v>
      </c>
      <c r="E12" s="12">
        <v>1.78</v>
      </c>
      <c r="F12" s="12">
        <v>7.5439999999999996</v>
      </c>
      <c r="G12" s="12">
        <v>2.02</v>
      </c>
      <c r="H12" s="12">
        <v>2.7440000000000002</v>
      </c>
      <c r="I12" s="12">
        <v>4.4649999999999999</v>
      </c>
      <c r="J12" s="12">
        <v>0.82899999999999996</v>
      </c>
      <c r="K12" s="12">
        <v>13.471</v>
      </c>
      <c r="L12" s="12">
        <v>66.798999999999992</v>
      </c>
    </row>
    <row r="13" spans="1:12" x14ac:dyDescent="0.35">
      <c r="A13" s="18">
        <v>2023</v>
      </c>
      <c r="B13" s="12">
        <v>1.2709999999999999</v>
      </c>
      <c r="C13" s="12">
        <v>1.4319999999999999</v>
      </c>
      <c r="D13" s="12">
        <v>31.952999999999999</v>
      </c>
      <c r="E13" s="12">
        <v>1.5589999999999999</v>
      </c>
      <c r="F13" s="12">
        <v>8.0399999999999991</v>
      </c>
      <c r="G13" s="12">
        <v>2.0009999999999999</v>
      </c>
      <c r="H13" s="12">
        <v>2.5910000000000002</v>
      </c>
      <c r="I13" s="12">
        <v>4.55</v>
      </c>
      <c r="J13" s="12">
        <v>0.80800000000000005</v>
      </c>
      <c r="K13" s="12">
        <v>12.911</v>
      </c>
      <c r="L13" s="12">
        <v>67.115999999999985</v>
      </c>
    </row>
    <row r="14" spans="1:12" x14ac:dyDescent="0.35">
      <c r="A14" s="18" t="s">
        <v>17</v>
      </c>
      <c r="B14" s="12">
        <v>12.015999999999998</v>
      </c>
      <c r="C14" s="12">
        <v>13.696</v>
      </c>
      <c r="D14" s="12">
        <v>265.00299999999999</v>
      </c>
      <c r="E14" s="12">
        <v>17.693999999999999</v>
      </c>
      <c r="F14" s="12">
        <v>63.533000000000001</v>
      </c>
      <c r="G14" s="12">
        <v>15.648999999999999</v>
      </c>
      <c r="H14" s="12">
        <v>27.355</v>
      </c>
      <c r="I14" s="12">
        <v>41.289999999999992</v>
      </c>
      <c r="J14" s="12">
        <v>8.9109999999999996</v>
      </c>
      <c r="K14" s="12">
        <v>126.47800000000001</v>
      </c>
      <c r="L14" s="12">
        <v>591.625</v>
      </c>
    </row>
    <row r="17" spans="2:12" x14ac:dyDescent="0.35">
      <c r="B17" s="16" cm="1">
        <f t="array" ref="B17:L26">B5:L14/100</f>
        <v>1.4919999999999999E-2</v>
      </c>
      <c r="C17" s="16">
        <v>1.5900000000000001E-2</v>
      </c>
      <c r="D17" s="16">
        <v>0.27844999999999998</v>
      </c>
      <c r="E17" s="16">
        <v>2.2620000000000001E-2</v>
      </c>
      <c r="F17" s="16">
        <v>6.3039999999999999E-2</v>
      </c>
      <c r="G17" s="16">
        <v>1.5569999999999999E-2</v>
      </c>
      <c r="H17" s="16">
        <v>3.4460000000000005E-2</v>
      </c>
      <c r="I17" s="16">
        <v>4.6189999999999995E-2</v>
      </c>
      <c r="J17" s="16">
        <v>1.1930000000000001E-2</v>
      </c>
      <c r="K17" s="16">
        <v>0.15164</v>
      </c>
      <c r="L17" s="16">
        <v>0.65471999999999997</v>
      </c>
    </row>
    <row r="18" spans="2:12" x14ac:dyDescent="0.35">
      <c r="B18" s="16">
        <v>1.389E-2</v>
      </c>
      <c r="C18" s="16">
        <v>1.5640000000000001E-2</v>
      </c>
      <c r="D18" s="16">
        <v>0.27543000000000001</v>
      </c>
      <c r="E18" s="16">
        <v>2.2550000000000001E-2</v>
      </c>
      <c r="F18" s="16">
        <v>6.6470000000000001E-2</v>
      </c>
      <c r="G18" s="16">
        <v>1.5480000000000001E-2</v>
      </c>
      <c r="H18" s="16">
        <v>3.39E-2</v>
      </c>
      <c r="I18" s="16">
        <v>4.6039999999999998E-2</v>
      </c>
      <c r="J18" s="16">
        <v>1.129E-2</v>
      </c>
      <c r="K18" s="16">
        <v>0.1482</v>
      </c>
      <c r="L18" s="16">
        <v>0.64888999999999997</v>
      </c>
    </row>
    <row r="19" spans="2:12" x14ac:dyDescent="0.35">
      <c r="B19" s="16">
        <v>1.3819999999999999E-2</v>
      </c>
      <c r="C19" s="16">
        <v>1.575E-2</v>
      </c>
      <c r="D19" s="16">
        <v>0.27796999999999999</v>
      </c>
      <c r="E19" s="16">
        <v>2.181E-2</v>
      </c>
      <c r="F19" s="16">
        <v>6.7430000000000004E-2</v>
      </c>
      <c r="G19" s="16">
        <v>1.5869999999999999E-2</v>
      </c>
      <c r="H19" s="16">
        <v>3.2919999999999998E-2</v>
      </c>
      <c r="I19" s="16">
        <v>4.6170000000000003E-2</v>
      </c>
      <c r="J19" s="16">
        <v>1.077E-2</v>
      </c>
      <c r="K19" s="16">
        <v>0.14441999999999999</v>
      </c>
      <c r="L19" s="16">
        <v>0.64693000000000012</v>
      </c>
    </row>
    <row r="20" spans="2:12" x14ac:dyDescent="0.35">
      <c r="B20" s="16">
        <v>1.2969999999999999E-2</v>
      </c>
      <c r="C20" s="16">
        <v>1.566E-2</v>
      </c>
      <c r="D20" s="16">
        <v>0.28167000000000003</v>
      </c>
      <c r="E20" s="16">
        <v>2.0659999999999998E-2</v>
      </c>
      <c r="F20" s="16">
        <v>7.0650000000000004E-2</v>
      </c>
      <c r="G20" s="16">
        <v>1.653E-2</v>
      </c>
      <c r="H20" s="16">
        <v>3.0990000000000004E-2</v>
      </c>
      <c r="I20" s="16">
        <v>4.6550000000000001E-2</v>
      </c>
      <c r="J20" s="16">
        <v>1.034E-2</v>
      </c>
      <c r="K20" s="16">
        <v>0.14595</v>
      </c>
      <c r="L20" s="16">
        <v>0.65197000000000005</v>
      </c>
    </row>
    <row r="21" spans="2:12" x14ac:dyDescent="0.35">
      <c r="B21" s="16">
        <v>1.2849999999999999E-2</v>
      </c>
      <c r="C21" s="16">
        <v>1.5609999999999999E-2</v>
      </c>
      <c r="D21" s="16">
        <v>0.28888000000000003</v>
      </c>
      <c r="E21" s="16">
        <v>1.9110000000000002E-2</v>
      </c>
      <c r="F21" s="16">
        <v>7.041E-2</v>
      </c>
      <c r="G21" s="16">
        <v>1.7929999999999998E-2</v>
      </c>
      <c r="H21" s="16">
        <v>2.972E-2</v>
      </c>
      <c r="I21" s="16">
        <v>4.5960000000000001E-2</v>
      </c>
      <c r="J21" s="16">
        <v>9.8399999999999998E-3</v>
      </c>
      <c r="K21" s="16">
        <v>0.14118</v>
      </c>
      <c r="L21" s="16">
        <v>0.65149000000000012</v>
      </c>
    </row>
    <row r="22" spans="2:12" x14ac:dyDescent="0.35">
      <c r="B22" s="16">
        <v>1.274E-2</v>
      </c>
      <c r="C22" s="16">
        <v>1.4910000000000001E-2</v>
      </c>
      <c r="D22" s="16">
        <v>0.30992999999999998</v>
      </c>
      <c r="E22" s="16">
        <v>1.8409999999999999E-2</v>
      </c>
      <c r="F22" s="16">
        <v>6.8909999999999999E-2</v>
      </c>
      <c r="G22" s="16">
        <v>1.7729999999999999E-2</v>
      </c>
      <c r="H22" s="16">
        <v>2.9500000000000002E-2</v>
      </c>
      <c r="I22" s="16">
        <v>4.6420000000000003E-2</v>
      </c>
      <c r="J22" s="16">
        <v>9.2800000000000001E-3</v>
      </c>
      <c r="K22" s="16">
        <v>0.13339999999999999</v>
      </c>
      <c r="L22" s="16">
        <v>0.6612300000000001</v>
      </c>
    </row>
    <row r="23" spans="2:12" x14ac:dyDescent="0.35">
      <c r="B23" s="16">
        <v>1.3469999999999999E-2</v>
      </c>
      <c r="C23" s="16">
        <v>1.4579999999999999E-2</v>
      </c>
      <c r="D23" s="16">
        <v>0.30609000000000003</v>
      </c>
      <c r="E23" s="16">
        <v>1.839E-2</v>
      </c>
      <c r="F23" s="16">
        <v>7.2580000000000006E-2</v>
      </c>
      <c r="G23" s="16">
        <v>1.7170000000000001E-2</v>
      </c>
      <c r="H23" s="16">
        <v>2.8709999999999999E-2</v>
      </c>
      <c r="I23" s="16">
        <v>4.5419999999999995E-2</v>
      </c>
      <c r="J23" s="16">
        <v>9.2899999999999996E-3</v>
      </c>
      <c r="K23" s="16">
        <v>0.13617000000000001</v>
      </c>
      <c r="L23" s="16">
        <v>0.66187000000000007</v>
      </c>
    </row>
    <row r="24" spans="2:12" x14ac:dyDescent="0.35">
      <c r="B24" s="16">
        <v>1.2789999999999999E-2</v>
      </c>
      <c r="C24" s="16">
        <v>1.4590000000000001E-2</v>
      </c>
      <c r="D24" s="16">
        <v>0.31207999999999997</v>
      </c>
      <c r="E24" s="16">
        <v>1.78E-2</v>
      </c>
      <c r="F24" s="16">
        <v>7.5439999999999993E-2</v>
      </c>
      <c r="G24" s="16">
        <v>2.0199999999999999E-2</v>
      </c>
      <c r="H24" s="16">
        <v>2.7440000000000003E-2</v>
      </c>
      <c r="I24" s="16">
        <v>4.4649999999999995E-2</v>
      </c>
      <c r="J24" s="16">
        <v>8.2899999999999988E-3</v>
      </c>
      <c r="K24" s="16">
        <v>0.13471</v>
      </c>
      <c r="L24" s="16">
        <v>0.66798999999999997</v>
      </c>
    </row>
    <row r="25" spans="2:12" x14ac:dyDescent="0.35">
      <c r="B25" s="16">
        <v>1.2709999999999999E-2</v>
      </c>
      <c r="C25" s="16">
        <v>1.4319999999999999E-2</v>
      </c>
      <c r="D25" s="16">
        <v>0.31952999999999998</v>
      </c>
      <c r="E25" s="16">
        <v>1.559E-2</v>
      </c>
      <c r="F25" s="16">
        <v>8.0399999999999985E-2</v>
      </c>
      <c r="G25" s="16">
        <v>2.001E-2</v>
      </c>
      <c r="H25" s="16">
        <v>2.5910000000000002E-2</v>
      </c>
      <c r="I25" s="16">
        <v>4.5499999999999999E-2</v>
      </c>
      <c r="J25" s="16">
        <v>8.0800000000000004E-3</v>
      </c>
      <c r="K25" s="16">
        <v>0.12911</v>
      </c>
      <c r="L25" s="16">
        <v>0.67115999999999987</v>
      </c>
    </row>
    <row r="26" spans="2:12" x14ac:dyDescent="0.35">
      <c r="B26" s="16">
        <v>0.12015999999999999</v>
      </c>
      <c r="C26" s="16">
        <v>0.13696</v>
      </c>
      <c r="D26" s="16">
        <v>2.6500299999999997</v>
      </c>
      <c r="E26" s="16">
        <v>0.17693999999999999</v>
      </c>
      <c r="F26" s="16">
        <v>0.63533000000000006</v>
      </c>
      <c r="G26" s="16">
        <v>0.15648999999999999</v>
      </c>
      <c r="H26" s="16">
        <v>0.27355000000000002</v>
      </c>
      <c r="I26" s="16">
        <v>0.41289999999999993</v>
      </c>
      <c r="J26" s="16">
        <v>8.9109999999999995E-2</v>
      </c>
      <c r="K26" s="16">
        <v>1.26478</v>
      </c>
      <c r="L26" s="16">
        <v>5.9162499999999998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6FDD-C59B-427C-B93A-3965EA636C58}">
  <dimension ref="A3:L14"/>
  <sheetViews>
    <sheetView topLeftCell="A2" workbookViewId="0">
      <selection activeCell="A4" sqref="A3:L14"/>
    </sheetView>
  </sheetViews>
  <sheetFormatPr defaultRowHeight="14.5" x14ac:dyDescent="0.35"/>
  <cols>
    <col min="1" max="1" width="21.6328125" bestFit="1" customWidth="1"/>
    <col min="2" max="2" width="15.26953125" bestFit="1" customWidth="1"/>
    <col min="3" max="3" width="7.08984375" bestFit="1" customWidth="1"/>
    <col min="4" max="4" width="5.54296875" bestFit="1" customWidth="1"/>
    <col min="5" max="5" width="8.453125" bestFit="1" customWidth="1"/>
    <col min="6" max="6" width="5.36328125" bestFit="1" customWidth="1"/>
    <col min="7" max="7" width="9" bestFit="1" customWidth="1"/>
    <col min="8" max="8" width="6" bestFit="1" customWidth="1"/>
    <col min="9" max="9" width="6.08984375" bestFit="1" customWidth="1"/>
    <col min="10" max="10" width="14.36328125" bestFit="1" customWidth="1"/>
    <col min="11" max="11" width="12.08984375" bestFit="1" customWidth="1"/>
    <col min="12" max="12" width="10.7265625" bestFit="1" customWidth="1"/>
  </cols>
  <sheetData>
    <row r="3" spans="1:12" x14ac:dyDescent="0.35">
      <c r="A3" s="7" t="s">
        <v>22</v>
      </c>
      <c r="B3" s="7" t="s">
        <v>16</v>
      </c>
    </row>
    <row r="4" spans="1:12" x14ac:dyDescent="0.35">
      <c r="A4" s="7" t="s">
        <v>18</v>
      </c>
      <c r="B4" t="s">
        <v>6</v>
      </c>
      <c r="C4" t="s">
        <v>7</v>
      </c>
      <c r="D4" t="s">
        <v>8</v>
      </c>
      <c r="E4" t="s">
        <v>9</v>
      </c>
      <c r="F4" t="s">
        <v>10</v>
      </c>
      <c r="G4" t="s">
        <v>11</v>
      </c>
      <c r="H4" t="s">
        <v>12</v>
      </c>
      <c r="I4" t="s">
        <v>13</v>
      </c>
      <c r="J4" t="s">
        <v>14</v>
      </c>
      <c r="K4" t="s">
        <v>15</v>
      </c>
      <c r="L4" t="s">
        <v>17</v>
      </c>
    </row>
    <row r="5" spans="1:12" x14ac:dyDescent="0.35">
      <c r="A5" s="8">
        <v>2015</v>
      </c>
      <c r="B5" s="12">
        <v>-5.0940000000000003</v>
      </c>
      <c r="C5" s="12">
        <v>-0.34300000000000003</v>
      </c>
      <c r="D5" s="12">
        <v>-1.1830000000000001</v>
      </c>
      <c r="E5" s="12">
        <v>1.04</v>
      </c>
      <c r="F5" s="12">
        <v>3.9</v>
      </c>
      <c r="G5" s="12">
        <v>10.667999999999999</v>
      </c>
      <c r="H5" s="12">
        <v>-3.1970000000000001</v>
      </c>
      <c r="I5" s="12">
        <v>-0.126</v>
      </c>
      <c r="J5" s="12">
        <v>-3.7250000000000001</v>
      </c>
      <c r="K5" s="12">
        <v>-2.9449999999999998</v>
      </c>
      <c r="L5" s="12">
        <v>-1.0050000000000008</v>
      </c>
    </row>
    <row r="6" spans="1:12" x14ac:dyDescent="0.35">
      <c r="A6" s="8">
        <v>2016</v>
      </c>
      <c r="B6" s="12">
        <v>-6.8970000000000002</v>
      </c>
      <c r="C6" s="12">
        <v>-1.651</v>
      </c>
      <c r="D6" s="12">
        <v>-1.1140000000000001</v>
      </c>
      <c r="E6" s="12">
        <v>-0.35399999999999998</v>
      </c>
      <c r="F6" s="12">
        <v>5.4089999999999998</v>
      </c>
      <c r="G6" s="12">
        <v>-0.57899999999999996</v>
      </c>
      <c r="H6" s="12">
        <v>-1.643</v>
      </c>
      <c r="I6" s="12">
        <v>-0.36199999999999999</v>
      </c>
      <c r="J6" s="12">
        <v>-5.452</v>
      </c>
      <c r="K6" s="12">
        <v>-2.294</v>
      </c>
      <c r="L6" s="12">
        <v>-14.937000000000001</v>
      </c>
    </row>
    <row r="7" spans="1:12" x14ac:dyDescent="0.35">
      <c r="A7" s="8">
        <v>2017</v>
      </c>
      <c r="B7" s="12">
        <v>1.1200000000000001</v>
      </c>
      <c r="C7" s="12">
        <v>2.339</v>
      </c>
      <c r="D7" s="12">
        <v>2.5830000000000002</v>
      </c>
      <c r="E7" s="12">
        <v>-1.6779999999999999</v>
      </c>
      <c r="F7" s="12">
        <v>3.1110000000000002</v>
      </c>
      <c r="G7" s="12">
        <v>4.1900000000000004</v>
      </c>
      <c r="H7" s="12">
        <v>-1.2949999999999999</v>
      </c>
      <c r="I7" s="12">
        <v>1.9450000000000001</v>
      </c>
      <c r="J7" s="12">
        <v>-3.02</v>
      </c>
      <c r="K7" s="12">
        <v>-0.95199999999999996</v>
      </c>
      <c r="L7" s="12">
        <v>8.343</v>
      </c>
    </row>
    <row r="8" spans="1:12" x14ac:dyDescent="0.35">
      <c r="A8" s="8">
        <v>2018</v>
      </c>
      <c r="B8" s="12">
        <v>-4.1539999999999999</v>
      </c>
      <c r="C8" s="12">
        <v>1.488</v>
      </c>
      <c r="D8" s="12">
        <v>3.468</v>
      </c>
      <c r="E8" s="12">
        <v>-3.2909999999999999</v>
      </c>
      <c r="F8" s="12">
        <v>6.9880000000000004</v>
      </c>
      <c r="G8" s="12">
        <v>6.3840000000000003</v>
      </c>
      <c r="H8" s="12">
        <v>-3.871</v>
      </c>
      <c r="I8" s="12">
        <v>2.944</v>
      </c>
      <c r="J8" s="12">
        <v>-1.972</v>
      </c>
      <c r="K8" s="12">
        <v>3.1920000000000002</v>
      </c>
      <c r="L8" s="12">
        <v>11.176</v>
      </c>
    </row>
    <row r="9" spans="1:12" x14ac:dyDescent="0.35">
      <c r="A9" s="8">
        <v>2019</v>
      </c>
      <c r="B9" s="12">
        <v>2.5999999999999999E-2</v>
      </c>
      <c r="C9" s="12">
        <v>0.68100000000000005</v>
      </c>
      <c r="D9" s="12">
        <v>3.544</v>
      </c>
      <c r="E9" s="12">
        <v>-6.6059999999999999</v>
      </c>
      <c r="F9" s="12">
        <v>0.61499999999999999</v>
      </c>
      <c r="G9" s="12">
        <v>9.4949999999999992</v>
      </c>
      <c r="H9" s="12">
        <v>-3.2050000000000001</v>
      </c>
      <c r="I9" s="12">
        <v>-0.31900000000000001</v>
      </c>
      <c r="J9" s="12">
        <v>-3.944</v>
      </c>
      <c r="K9" s="12">
        <v>-2.3380000000000001</v>
      </c>
      <c r="L9" s="12">
        <v>-2.0510000000000002</v>
      </c>
    </row>
    <row r="10" spans="1:12" x14ac:dyDescent="0.35">
      <c r="A10" s="8">
        <v>2020</v>
      </c>
      <c r="B10" s="12">
        <v>-6.0250000000000004</v>
      </c>
      <c r="C10" s="12">
        <v>-9.4640000000000004</v>
      </c>
      <c r="D10" s="12">
        <v>1.708</v>
      </c>
      <c r="E10" s="12">
        <v>-8.6750000000000007</v>
      </c>
      <c r="F10" s="12">
        <v>-7.2169999999999996</v>
      </c>
      <c r="G10" s="12">
        <v>-6.2770000000000001</v>
      </c>
      <c r="H10" s="12">
        <v>-5.8780000000000001</v>
      </c>
      <c r="I10" s="12">
        <v>-4.2569999999999997</v>
      </c>
      <c r="J10" s="12">
        <v>-10.552</v>
      </c>
      <c r="K10" s="12">
        <v>-10.427</v>
      </c>
      <c r="L10" s="12">
        <v>-67.063999999999993</v>
      </c>
    </row>
    <row r="11" spans="1:12" x14ac:dyDescent="0.35">
      <c r="A11" s="8">
        <v>2021</v>
      </c>
      <c r="B11" s="12">
        <v>10.84</v>
      </c>
      <c r="C11" s="12">
        <v>2.532</v>
      </c>
      <c r="D11" s="12">
        <v>3.56</v>
      </c>
      <c r="E11" s="12">
        <v>4.7619999999999996</v>
      </c>
      <c r="F11" s="12">
        <v>10.445</v>
      </c>
      <c r="G11" s="12">
        <v>1.5469999999999999</v>
      </c>
      <c r="H11" s="12">
        <v>2.0449999999999999</v>
      </c>
      <c r="I11" s="12">
        <v>2.6120000000000001</v>
      </c>
      <c r="J11" s="12">
        <v>4.9349999999999996</v>
      </c>
      <c r="K11" s="12">
        <v>7.04</v>
      </c>
      <c r="L11" s="12">
        <v>50.317999999999998</v>
      </c>
    </row>
    <row r="12" spans="1:12" x14ac:dyDescent="0.35">
      <c r="A12" s="8">
        <v>2022</v>
      </c>
      <c r="B12" s="12">
        <v>-3.3239999999999998</v>
      </c>
      <c r="C12" s="12">
        <v>1.8939999999999999</v>
      </c>
      <c r="D12" s="12">
        <v>3.7879999999999998</v>
      </c>
      <c r="E12" s="12">
        <v>-1.498</v>
      </c>
      <c r="F12" s="12">
        <v>5.806</v>
      </c>
      <c r="G12" s="12">
        <v>19.760999999999999</v>
      </c>
      <c r="H12" s="12">
        <v>-2.726</v>
      </c>
      <c r="I12" s="12">
        <v>5.6000000000000001E-2</v>
      </c>
      <c r="J12" s="12">
        <v>-9.1270000000000007</v>
      </c>
      <c r="K12" s="12">
        <v>0.70299999999999996</v>
      </c>
      <c r="L12" s="12">
        <v>15.333</v>
      </c>
    </row>
    <row r="13" spans="1:12" x14ac:dyDescent="0.35">
      <c r="A13" s="8">
        <v>2023</v>
      </c>
      <c r="B13" s="12">
        <v>0.81899999999999995</v>
      </c>
      <c r="C13" s="12">
        <v>-0.39800000000000002</v>
      </c>
      <c r="D13" s="12">
        <v>3.9289999999999998</v>
      </c>
      <c r="E13" s="12">
        <v>-11.092000000000001</v>
      </c>
      <c r="F13" s="12">
        <v>8.1809999999999992</v>
      </c>
      <c r="G13" s="12">
        <v>0.57199999999999995</v>
      </c>
      <c r="H13" s="12">
        <v>-4.1500000000000004</v>
      </c>
      <c r="I13" s="12">
        <v>3.4420000000000002</v>
      </c>
      <c r="J13" s="12">
        <v>-1.0580000000000001</v>
      </c>
      <c r="K13" s="12">
        <v>-2.71</v>
      </c>
      <c r="L13" s="12">
        <v>-2.4650000000000016</v>
      </c>
    </row>
    <row r="14" spans="1:12" x14ac:dyDescent="0.35">
      <c r="A14" s="8" t="s">
        <v>17</v>
      </c>
      <c r="B14" s="12">
        <v>-12.689</v>
      </c>
      <c r="C14" s="12">
        <v>-2.9220000000000002</v>
      </c>
      <c r="D14" s="12">
        <v>20.282999999999998</v>
      </c>
      <c r="E14" s="12">
        <v>-27.392000000000003</v>
      </c>
      <c r="F14" s="12">
        <v>37.238</v>
      </c>
      <c r="G14" s="12">
        <v>45.761000000000003</v>
      </c>
      <c r="H14" s="12">
        <v>-23.919999999999995</v>
      </c>
      <c r="I14" s="12">
        <v>5.9350000000000005</v>
      </c>
      <c r="J14" s="12">
        <v>-33.914999999999999</v>
      </c>
      <c r="K14" s="12">
        <v>-10.731000000000002</v>
      </c>
      <c r="L14" s="12">
        <v>-2.3520000000000003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1318B-0ACC-4C6B-8DF1-20C5B051413B}">
  <dimension ref="A1:F91"/>
  <sheetViews>
    <sheetView workbookViewId="0">
      <selection activeCell="E8" sqref="A1:F91"/>
    </sheetView>
  </sheetViews>
  <sheetFormatPr defaultRowHeight="14.5" x14ac:dyDescent="0.35"/>
  <cols>
    <col min="1" max="1" width="14.1796875" bestFit="1" customWidth="1"/>
    <col min="2" max="2" width="4.81640625" bestFit="1" customWidth="1"/>
    <col min="3" max="3" width="9.36328125" style="12" bestFit="1" customWidth="1"/>
    <col min="4" max="4" width="15.1796875" style="12" bestFit="1" customWidth="1"/>
    <col min="5" max="5" width="13.7265625" style="12" bestFit="1" customWidth="1"/>
    <col min="6" max="6" width="15.453125" style="12" bestFit="1" customWidth="1"/>
  </cols>
  <sheetData>
    <row r="1" spans="1:6" x14ac:dyDescent="0.35">
      <c r="A1" s="5" t="s">
        <v>0</v>
      </c>
      <c r="B1" s="6" t="s">
        <v>1</v>
      </c>
      <c r="C1" s="9" t="s">
        <v>2</v>
      </c>
      <c r="D1" s="9" t="s">
        <v>3</v>
      </c>
      <c r="E1" s="9" t="s">
        <v>4</v>
      </c>
      <c r="F1" s="13" t="s">
        <v>5</v>
      </c>
    </row>
    <row r="2" spans="1:6" x14ac:dyDescent="0.35">
      <c r="A2" s="1" t="s">
        <v>6</v>
      </c>
      <c r="B2" s="2">
        <v>2023</v>
      </c>
      <c r="C2" s="10">
        <v>483.99200000000002</v>
      </c>
      <c r="D2" s="10">
        <v>0.81899999999999995</v>
      </c>
      <c r="E2" s="10">
        <v>2.2919999999999998</v>
      </c>
      <c r="F2" s="14">
        <v>1.2709999999999999</v>
      </c>
    </row>
    <row r="3" spans="1:6" x14ac:dyDescent="0.35">
      <c r="A3" s="3" t="s">
        <v>7</v>
      </c>
      <c r="B3" s="4">
        <v>2023</v>
      </c>
      <c r="C3" s="11">
        <v>545.47900000000004</v>
      </c>
      <c r="D3" s="11">
        <v>-0.39800000000000002</v>
      </c>
      <c r="E3" s="11">
        <v>13.88</v>
      </c>
      <c r="F3" s="15">
        <v>1.4319999999999999</v>
      </c>
    </row>
    <row r="4" spans="1:6" x14ac:dyDescent="0.35">
      <c r="A4" s="1" t="s">
        <v>8</v>
      </c>
      <c r="B4" s="2">
        <v>2023</v>
      </c>
      <c r="C4" s="10">
        <v>12172.009</v>
      </c>
      <c r="D4" s="10">
        <v>3.9289999999999998</v>
      </c>
      <c r="E4" s="10">
        <v>8.5559999999999992</v>
      </c>
      <c r="F4" s="14">
        <v>31.952999999999999</v>
      </c>
    </row>
    <row r="5" spans="1:6" x14ac:dyDescent="0.35">
      <c r="A5" s="3" t="s">
        <v>9</v>
      </c>
      <c r="B5" s="4">
        <v>2023</v>
      </c>
      <c r="C5" s="11">
        <v>593.76599999999996</v>
      </c>
      <c r="D5" s="11">
        <v>-11.092000000000001</v>
      </c>
      <c r="E5" s="11">
        <v>7.0229999999999997</v>
      </c>
      <c r="F5" s="15">
        <v>1.5589999999999999</v>
      </c>
    </row>
    <row r="6" spans="1:6" x14ac:dyDescent="0.35">
      <c r="A6" s="1" t="s">
        <v>10</v>
      </c>
      <c r="B6" s="2">
        <v>2023</v>
      </c>
      <c r="C6" s="10">
        <v>3062.7559999999999</v>
      </c>
      <c r="D6" s="10">
        <v>8.1809999999999992</v>
      </c>
      <c r="E6" s="10">
        <v>2.13</v>
      </c>
      <c r="F6" s="14">
        <v>8.0399999999999991</v>
      </c>
    </row>
    <row r="7" spans="1:6" x14ac:dyDescent="0.35">
      <c r="A7" s="3" t="s">
        <v>11</v>
      </c>
      <c r="B7" s="4">
        <v>2023</v>
      </c>
      <c r="C7" s="11">
        <v>762.35799999999995</v>
      </c>
      <c r="D7" s="11">
        <v>0.57199999999999995</v>
      </c>
      <c r="E7" s="11">
        <v>2.7109999999999999</v>
      </c>
      <c r="F7" s="15">
        <v>2.0009999999999999</v>
      </c>
    </row>
    <row r="8" spans="1:6" x14ac:dyDescent="0.35">
      <c r="A8" s="1" t="s">
        <v>12</v>
      </c>
      <c r="B8" s="2">
        <v>2023</v>
      </c>
      <c r="C8" s="10">
        <v>986.91</v>
      </c>
      <c r="D8" s="10">
        <v>-4.1500000000000004</v>
      </c>
      <c r="E8" s="10">
        <v>7.9349999999999996</v>
      </c>
      <c r="F8" s="14">
        <v>2.5910000000000002</v>
      </c>
    </row>
    <row r="9" spans="1:6" x14ac:dyDescent="0.35">
      <c r="A9" s="3" t="s">
        <v>13</v>
      </c>
      <c r="B9" s="4">
        <v>2023</v>
      </c>
      <c r="C9" s="11">
        <v>1733.135</v>
      </c>
      <c r="D9" s="11">
        <v>3.4420000000000002</v>
      </c>
      <c r="E9" s="11">
        <v>11.916</v>
      </c>
      <c r="F9" s="15">
        <v>4.55</v>
      </c>
    </row>
    <row r="10" spans="1:6" x14ac:dyDescent="0.35">
      <c r="A10" s="1" t="s">
        <v>14</v>
      </c>
      <c r="B10" s="2">
        <v>2023</v>
      </c>
      <c r="C10" s="10">
        <v>307.82600000000002</v>
      </c>
      <c r="D10" s="10">
        <v>-1.0580000000000001</v>
      </c>
      <c r="E10" s="10">
        <v>4.4820000000000002</v>
      </c>
      <c r="F10" s="14">
        <v>0.80800000000000005</v>
      </c>
    </row>
    <row r="11" spans="1:6" x14ac:dyDescent="0.35">
      <c r="A11" s="3" t="s">
        <v>15</v>
      </c>
      <c r="B11" s="4">
        <v>2023</v>
      </c>
      <c r="C11" s="11">
        <v>4918.4070000000002</v>
      </c>
      <c r="D11" s="11">
        <v>-2.71</v>
      </c>
      <c r="E11" s="11">
        <v>14.319000000000001</v>
      </c>
      <c r="F11" s="15">
        <v>12.911</v>
      </c>
    </row>
    <row r="12" spans="1:6" x14ac:dyDescent="0.35">
      <c r="A12" s="1" t="s">
        <v>6</v>
      </c>
      <c r="B12" s="2">
        <v>2022</v>
      </c>
      <c r="C12" s="10">
        <v>480.05799999999999</v>
      </c>
      <c r="D12" s="10">
        <v>-3.3239999999999998</v>
      </c>
      <c r="E12" s="10">
        <v>2.2829999999999999</v>
      </c>
      <c r="F12" s="14">
        <v>1.2789999999999999</v>
      </c>
    </row>
    <row r="13" spans="1:6" x14ac:dyDescent="0.35">
      <c r="A13" s="3" t="s">
        <v>7</v>
      </c>
      <c r="B13" s="4">
        <v>2022</v>
      </c>
      <c r="C13" s="11">
        <v>547.65800000000002</v>
      </c>
      <c r="D13" s="11">
        <v>1.8939999999999999</v>
      </c>
      <c r="E13" s="11">
        <v>14.106999999999999</v>
      </c>
      <c r="F13" s="15">
        <v>1.4590000000000001</v>
      </c>
    </row>
    <row r="14" spans="1:6" x14ac:dyDescent="0.35">
      <c r="A14" s="1" t="s">
        <v>8</v>
      </c>
      <c r="B14" s="2">
        <v>2022</v>
      </c>
      <c r="C14" s="10">
        <v>11711.808000000001</v>
      </c>
      <c r="D14" s="10">
        <v>3.7879999999999998</v>
      </c>
      <c r="E14" s="10">
        <v>8.218</v>
      </c>
      <c r="F14" s="14">
        <v>31.207999999999998</v>
      </c>
    </row>
    <row r="15" spans="1:6" x14ac:dyDescent="0.35">
      <c r="A15" s="3" t="s">
        <v>9</v>
      </c>
      <c r="B15" s="4">
        <v>2022</v>
      </c>
      <c r="C15" s="11">
        <v>667.84299999999996</v>
      </c>
      <c r="D15" s="11">
        <v>-1.498</v>
      </c>
      <c r="E15" s="11">
        <v>7.9420000000000002</v>
      </c>
      <c r="F15" s="15">
        <v>1.78</v>
      </c>
    </row>
    <row r="16" spans="1:6" x14ac:dyDescent="0.35">
      <c r="A16" s="1" t="s">
        <v>10</v>
      </c>
      <c r="B16" s="2">
        <v>2022</v>
      </c>
      <c r="C16" s="10">
        <v>2831.1320000000001</v>
      </c>
      <c r="D16" s="10">
        <v>5.806</v>
      </c>
      <c r="E16" s="10">
        <v>1.986</v>
      </c>
      <c r="F16" s="14">
        <v>7.5439999999999996</v>
      </c>
    </row>
    <row r="17" spans="1:6" x14ac:dyDescent="0.35">
      <c r="A17" s="3" t="s">
        <v>11</v>
      </c>
      <c r="B17" s="4">
        <v>2022</v>
      </c>
      <c r="C17" s="11">
        <v>758.02099999999996</v>
      </c>
      <c r="D17" s="11">
        <v>19.760999999999999</v>
      </c>
      <c r="E17" s="11">
        <v>2.7189999999999999</v>
      </c>
      <c r="F17" s="15">
        <v>2.02</v>
      </c>
    </row>
    <row r="18" spans="1:6" x14ac:dyDescent="0.35">
      <c r="A18" s="1" t="s">
        <v>12</v>
      </c>
      <c r="B18" s="2">
        <v>2022</v>
      </c>
      <c r="C18" s="10">
        <v>1029.645</v>
      </c>
      <c r="D18" s="10">
        <v>-2.726</v>
      </c>
      <c r="E18" s="10">
        <v>8.2370000000000001</v>
      </c>
      <c r="F18" s="14">
        <v>2.7440000000000002</v>
      </c>
    </row>
    <row r="19" spans="1:6" x14ac:dyDescent="0.35">
      <c r="A19" s="3" t="s">
        <v>13</v>
      </c>
      <c r="B19" s="4">
        <v>2022</v>
      </c>
      <c r="C19" s="11">
        <v>1675.461</v>
      </c>
      <c r="D19" s="11">
        <v>5.6000000000000001E-2</v>
      </c>
      <c r="E19" s="11">
        <v>11.509</v>
      </c>
      <c r="F19" s="15">
        <v>4.4649999999999999</v>
      </c>
    </row>
    <row r="20" spans="1:6" x14ac:dyDescent="0.35">
      <c r="A20" s="1" t="s">
        <v>14</v>
      </c>
      <c r="B20" s="2">
        <v>2022</v>
      </c>
      <c r="C20" s="10">
        <v>311.11799999999999</v>
      </c>
      <c r="D20" s="10">
        <v>-9.1270000000000007</v>
      </c>
      <c r="E20" s="10">
        <v>4.5629999999999997</v>
      </c>
      <c r="F20" s="14">
        <v>0.82899999999999996</v>
      </c>
    </row>
    <row r="21" spans="1:6" x14ac:dyDescent="0.35">
      <c r="A21" s="3" t="s">
        <v>15</v>
      </c>
      <c r="B21" s="4">
        <v>2022</v>
      </c>
      <c r="C21" s="11">
        <v>5055.4030000000002</v>
      </c>
      <c r="D21" s="11">
        <v>0.70299999999999996</v>
      </c>
      <c r="E21" s="11">
        <v>14.802</v>
      </c>
      <c r="F21" s="15">
        <v>13.471</v>
      </c>
    </row>
    <row r="22" spans="1:6" x14ac:dyDescent="0.35">
      <c r="A22" s="1" t="s">
        <v>6</v>
      </c>
      <c r="B22" s="2">
        <v>2021</v>
      </c>
      <c r="C22" s="10">
        <v>496.56200000000001</v>
      </c>
      <c r="D22" s="10">
        <v>10.84</v>
      </c>
      <c r="E22" s="10">
        <v>2.37</v>
      </c>
      <c r="F22" s="14">
        <v>1.347</v>
      </c>
    </row>
    <row r="23" spans="1:6" x14ac:dyDescent="0.35">
      <c r="A23" s="3" t="s">
        <v>7</v>
      </c>
      <c r="B23" s="4">
        <v>2021</v>
      </c>
      <c r="C23" s="11">
        <v>537.47900000000004</v>
      </c>
      <c r="D23" s="11">
        <v>2.532</v>
      </c>
      <c r="E23" s="11">
        <v>13.977</v>
      </c>
      <c r="F23" s="15">
        <v>1.458</v>
      </c>
    </row>
    <row r="24" spans="1:6" x14ac:dyDescent="0.35">
      <c r="A24" s="1" t="s">
        <v>8</v>
      </c>
      <c r="B24" s="2">
        <v>2021</v>
      </c>
      <c r="C24" s="10">
        <v>11284.401</v>
      </c>
      <c r="D24" s="10">
        <v>3.56</v>
      </c>
      <c r="E24" s="10">
        <v>7.9109999999999996</v>
      </c>
      <c r="F24" s="14">
        <v>30.609000000000002</v>
      </c>
    </row>
    <row r="25" spans="1:6" x14ac:dyDescent="0.35">
      <c r="A25" s="3" t="s">
        <v>9</v>
      </c>
      <c r="B25" s="4">
        <v>2021</v>
      </c>
      <c r="C25" s="11">
        <v>677.99800000000005</v>
      </c>
      <c r="D25" s="11">
        <v>4.7619999999999996</v>
      </c>
      <c r="E25" s="11">
        <v>8.1010000000000009</v>
      </c>
      <c r="F25" s="15">
        <v>1.839</v>
      </c>
    </row>
    <row r="26" spans="1:6" x14ac:dyDescent="0.35">
      <c r="A26" s="1" t="s">
        <v>10</v>
      </c>
      <c r="B26" s="2">
        <v>2021</v>
      </c>
      <c r="C26" s="10">
        <v>2675.7779999999998</v>
      </c>
      <c r="D26" s="10">
        <v>10.445</v>
      </c>
      <c r="E26" s="10">
        <v>1.8919999999999999</v>
      </c>
      <c r="F26" s="14">
        <v>7.258</v>
      </c>
    </row>
    <row r="27" spans="1:6" x14ac:dyDescent="0.35">
      <c r="A27" s="3" t="s">
        <v>11</v>
      </c>
      <c r="B27" s="4">
        <v>2021</v>
      </c>
      <c r="C27" s="11">
        <v>632.94600000000003</v>
      </c>
      <c r="D27" s="11">
        <v>1.5469999999999999</v>
      </c>
      <c r="E27" s="11">
        <v>2.2869999999999999</v>
      </c>
      <c r="F27" s="15">
        <v>1.7170000000000001</v>
      </c>
    </row>
    <row r="28" spans="1:6" x14ac:dyDescent="0.35">
      <c r="A28" s="1" t="s">
        <v>12</v>
      </c>
      <c r="B28" s="2">
        <v>2021</v>
      </c>
      <c r="C28" s="10">
        <v>1058.502</v>
      </c>
      <c r="D28" s="10">
        <v>2.0449999999999999</v>
      </c>
      <c r="E28" s="10">
        <v>8.4220000000000006</v>
      </c>
      <c r="F28" s="14">
        <v>2.871</v>
      </c>
    </row>
    <row r="29" spans="1:6" x14ac:dyDescent="0.35">
      <c r="A29" s="3" t="s">
        <v>13</v>
      </c>
      <c r="B29" s="4">
        <v>2021</v>
      </c>
      <c r="C29" s="11">
        <v>1674.5239999999999</v>
      </c>
      <c r="D29" s="11">
        <v>2.6120000000000001</v>
      </c>
      <c r="E29" s="11">
        <v>11.481999999999999</v>
      </c>
      <c r="F29" s="15">
        <v>4.5419999999999998</v>
      </c>
    </row>
    <row r="30" spans="1:6" x14ac:dyDescent="0.35">
      <c r="A30" s="1" t="s">
        <v>14</v>
      </c>
      <c r="B30" s="2">
        <v>2021</v>
      </c>
      <c r="C30" s="10">
        <v>342.36599999999999</v>
      </c>
      <c r="D30" s="10">
        <v>4.9349999999999996</v>
      </c>
      <c r="E30" s="10">
        <v>5.0590000000000002</v>
      </c>
      <c r="F30" s="14">
        <v>0.92900000000000005</v>
      </c>
    </row>
    <row r="31" spans="1:6" x14ac:dyDescent="0.35">
      <c r="A31" s="3" t="s">
        <v>15</v>
      </c>
      <c r="B31" s="4">
        <v>2021</v>
      </c>
      <c r="C31" s="11">
        <v>5020.1109999999999</v>
      </c>
      <c r="D31" s="11">
        <v>7.04</v>
      </c>
      <c r="E31" s="11">
        <v>14.757999999999999</v>
      </c>
      <c r="F31" s="15">
        <v>13.617000000000001</v>
      </c>
    </row>
    <row r="32" spans="1:6" x14ac:dyDescent="0.35">
      <c r="A32" s="1" t="s">
        <v>6</v>
      </c>
      <c r="B32" s="2">
        <v>2020</v>
      </c>
      <c r="C32" s="10">
        <v>447.99900000000002</v>
      </c>
      <c r="D32" s="10">
        <v>-6.0250000000000004</v>
      </c>
      <c r="E32" s="10">
        <v>2.1469999999999998</v>
      </c>
      <c r="F32" s="14">
        <v>1.274</v>
      </c>
    </row>
    <row r="33" spans="1:6" x14ac:dyDescent="0.35">
      <c r="A33" s="3" t="s">
        <v>7</v>
      </c>
      <c r="B33" s="4">
        <v>2020</v>
      </c>
      <c r="C33" s="11">
        <v>524.20799999999997</v>
      </c>
      <c r="D33" s="11">
        <v>-9.4640000000000004</v>
      </c>
      <c r="E33" s="11">
        <v>13.733000000000001</v>
      </c>
      <c r="F33" s="15">
        <v>1.4910000000000001</v>
      </c>
    </row>
    <row r="34" spans="1:6" x14ac:dyDescent="0.35">
      <c r="A34" s="1" t="s">
        <v>8</v>
      </c>
      <c r="B34" s="2">
        <v>2020</v>
      </c>
      <c r="C34" s="10">
        <v>10896.521000000001</v>
      </c>
      <c r="D34" s="10">
        <v>1.708</v>
      </c>
      <c r="E34" s="10">
        <v>7.641</v>
      </c>
      <c r="F34" s="14">
        <v>30.992999999999999</v>
      </c>
    </row>
    <row r="35" spans="1:6" x14ac:dyDescent="0.35">
      <c r="A35" s="3" t="s">
        <v>9</v>
      </c>
      <c r="B35" s="4">
        <v>2020</v>
      </c>
      <c r="C35" s="11">
        <v>647.17700000000002</v>
      </c>
      <c r="D35" s="11">
        <v>-8.6750000000000007</v>
      </c>
      <c r="E35" s="11">
        <v>7.7389999999999999</v>
      </c>
      <c r="F35" s="15">
        <v>1.841</v>
      </c>
    </row>
    <row r="36" spans="1:6" x14ac:dyDescent="0.35">
      <c r="A36" s="1" t="s">
        <v>10</v>
      </c>
      <c r="B36" s="2">
        <v>2020</v>
      </c>
      <c r="C36" s="10">
        <v>2422.732</v>
      </c>
      <c r="D36" s="10">
        <v>-7.2169999999999996</v>
      </c>
      <c r="E36" s="10">
        <v>1.7270000000000001</v>
      </c>
      <c r="F36" s="14">
        <v>6.891</v>
      </c>
    </row>
    <row r="37" spans="1:6" x14ac:dyDescent="0.35">
      <c r="A37" s="3" t="s">
        <v>11</v>
      </c>
      <c r="B37" s="4">
        <v>2020</v>
      </c>
      <c r="C37" s="11">
        <v>623.30399999999997</v>
      </c>
      <c r="D37" s="11">
        <v>-6.2770000000000001</v>
      </c>
      <c r="E37" s="11">
        <v>2.2679999999999998</v>
      </c>
      <c r="F37" s="15">
        <v>1.7729999999999999</v>
      </c>
    </row>
    <row r="38" spans="1:6" x14ac:dyDescent="0.35">
      <c r="A38" s="1" t="s">
        <v>12</v>
      </c>
      <c r="B38" s="2">
        <v>2020</v>
      </c>
      <c r="C38" s="10">
        <v>1037.2850000000001</v>
      </c>
      <c r="D38" s="10">
        <v>-5.8780000000000001</v>
      </c>
      <c r="E38" s="10">
        <v>8.2129999999999992</v>
      </c>
      <c r="F38" s="14">
        <v>2.95</v>
      </c>
    </row>
    <row r="39" spans="1:6" x14ac:dyDescent="0.35">
      <c r="A39" s="3" t="s">
        <v>13</v>
      </c>
      <c r="B39" s="4">
        <v>2020</v>
      </c>
      <c r="C39" s="11">
        <v>1631.902</v>
      </c>
      <c r="D39" s="11">
        <v>-4.2569999999999997</v>
      </c>
      <c r="E39" s="11">
        <v>11.148999999999999</v>
      </c>
      <c r="F39" s="15">
        <v>4.6420000000000003</v>
      </c>
    </row>
    <row r="40" spans="1:6" x14ac:dyDescent="0.35">
      <c r="A40" s="1" t="s">
        <v>14</v>
      </c>
      <c r="B40" s="2">
        <v>2020</v>
      </c>
      <c r="C40" s="10">
        <v>326.26299999999998</v>
      </c>
      <c r="D40" s="10">
        <v>-10.552</v>
      </c>
      <c r="E40" s="10">
        <v>4.8440000000000003</v>
      </c>
      <c r="F40" s="14">
        <v>0.92800000000000005</v>
      </c>
    </row>
    <row r="41" spans="1:6" x14ac:dyDescent="0.35">
      <c r="A41" s="3" t="s">
        <v>15</v>
      </c>
      <c r="B41" s="4">
        <v>2020</v>
      </c>
      <c r="C41" s="11">
        <v>4689.9539999999997</v>
      </c>
      <c r="D41" s="11">
        <v>-10.427</v>
      </c>
      <c r="E41" s="11">
        <v>13.817</v>
      </c>
      <c r="F41" s="15">
        <v>13.34</v>
      </c>
    </row>
    <row r="42" spans="1:6" x14ac:dyDescent="0.35">
      <c r="A42" s="1" t="s">
        <v>6</v>
      </c>
      <c r="B42" s="2">
        <v>2019</v>
      </c>
      <c r="C42" s="10">
        <v>476.72399999999999</v>
      </c>
      <c r="D42" s="10">
        <v>2.5999999999999999E-2</v>
      </c>
      <c r="E42" s="10">
        <v>2.298</v>
      </c>
      <c r="F42" s="14">
        <v>1.2849999999999999</v>
      </c>
    </row>
    <row r="43" spans="1:6" x14ac:dyDescent="0.35">
      <c r="A43" s="3" t="s">
        <v>7</v>
      </c>
      <c r="B43" s="4">
        <v>2019</v>
      </c>
      <c r="C43" s="11">
        <v>579.00699999999995</v>
      </c>
      <c r="D43" s="11">
        <v>0.68100000000000005</v>
      </c>
      <c r="E43" s="11">
        <v>15.324999999999999</v>
      </c>
      <c r="F43" s="15">
        <v>1.5609999999999999</v>
      </c>
    </row>
    <row r="44" spans="1:6" x14ac:dyDescent="0.35">
      <c r="A44" s="1" t="s">
        <v>8</v>
      </c>
      <c r="B44" s="2">
        <v>2019</v>
      </c>
      <c r="C44" s="10">
        <v>10713.514999999999</v>
      </c>
      <c r="D44" s="10">
        <v>3.544</v>
      </c>
      <c r="E44" s="10">
        <v>7.5259999999999998</v>
      </c>
      <c r="F44" s="14">
        <v>28.888000000000002</v>
      </c>
    </row>
    <row r="45" spans="1:6" x14ac:dyDescent="0.35">
      <c r="A45" s="3" t="s">
        <v>9</v>
      </c>
      <c r="B45" s="4">
        <v>2019</v>
      </c>
      <c r="C45" s="11">
        <v>708.649</v>
      </c>
      <c r="D45" s="11">
        <v>-6.6059999999999999</v>
      </c>
      <c r="E45" s="11">
        <v>8.4809999999999999</v>
      </c>
      <c r="F45" s="15">
        <v>1.911</v>
      </c>
    </row>
    <row r="46" spans="1:6" x14ac:dyDescent="0.35">
      <c r="A46" s="1" t="s">
        <v>10</v>
      </c>
      <c r="B46" s="2">
        <v>2019</v>
      </c>
      <c r="C46" s="10">
        <v>2611.1750000000002</v>
      </c>
      <c r="D46" s="10">
        <v>0.61499999999999999</v>
      </c>
      <c r="E46" s="10">
        <v>1.88</v>
      </c>
      <c r="F46" s="14">
        <v>7.0410000000000004</v>
      </c>
    </row>
    <row r="47" spans="1:6" x14ac:dyDescent="0.35">
      <c r="A47" s="3" t="s">
        <v>11</v>
      </c>
      <c r="B47" s="4">
        <v>2019</v>
      </c>
      <c r="C47" s="11">
        <v>665.04899999999998</v>
      </c>
      <c r="D47" s="11">
        <v>9.4949999999999992</v>
      </c>
      <c r="E47" s="11">
        <v>2.4409999999999998</v>
      </c>
      <c r="F47" s="15">
        <v>1.7929999999999999</v>
      </c>
    </row>
    <row r="48" spans="1:6" x14ac:dyDescent="0.35">
      <c r="A48" s="1" t="s">
        <v>12</v>
      </c>
      <c r="B48" s="2">
        <v>2019</v>
      </c>
      <c r="C48" s="10">
        <v>1102.0630000000001</v>
      </c>
      <c r="D48" s="10">
        <v>-3.2050000000000001</v>
      </c>
      <c r="E48" s="10">
        <v>8.6980000000000004</v>
      </c>
      <c r="F48" s="14">
        <v>2.972</v>
      </c>
    </row>
    <row r="49" spans="1:6" x14ac:dyDescent="0.35">
      <c r="A49" s="3" t="s">
        <v>13</v>
      </c>
      <c r="B49" s="4">
        <v>2019</v>
      </c>
      <c r="C49" s="11">
        <v>1704.4590000000001</v>
      </c>
      <c r="D49" s="11">
        <v>-0.31900000000000001</v>
      </c>
      <c r="E49" s="11">
        <v>11.632</v>
      </c>
      <c r="F49" s="15">
        <v>4.5960000000000001</v>
      </c>
    </row>
    <row r="50" spans="1:6" x14ac:dyDescent="0.35">
      <c r="A50" s="1" t="s">
        <v>14</v>
      </c>
      <c r="B50" s="2">
        <v>2019</v>
      </c>
      <c r="C50" s="10">
        <v>364.75299999999999</v>
      </c>
      <c r="D50" s="10">
        <v>-3.944</v>
      </c>
      <c r="E50" s="10">
        <v>5.4349999999999996</v>
      </c>
      <c r="F50" s="14">
        <v>0.98399999999999999</v>
      </c>
    </row>
    <row r="51" spans="1:6" x14ac:dyDescent="0.35">
      <c r="A51" s="3" t="s">
        <v>15</v>
      </c>
      <c r="B51" s="4">
        <v>2019</v>
      </c>
      <c r="C51" s="11">
        <v>5235.9120000000003</v>
      </c>
      <c r="D51" s="11">
        <v>-2.3380000000000001</v>
      </c>
      <c r="E51" s="11">
        <v>15.5</v>
      </c>
      <c r="F51" s="15">
        <v>14.118</v>
      </c>
    </row>
    <row r="52" spans="1:6" x14ac:dyDescent="0.35">
      <c r="A52" s="1" t="s">
        <v>6</v>
      </c>
      <c r="B52" s="2">
        <v>2018</v>
      </c>
      <c r="C52" s="10">
        <v>476.601</v>
      </c>
      <c r="D52" s="10">
        <v>-4.1539999999999999</v>
      </c>
      <c r="E52" s="10">
        <v>2.3119999999999998</v>
      </c>
      <c r="F52" s="14">
        <v>1.2969999999999999</v>
      </c>
    </row>
    <row r="53" spans="1:6" x14ac:dyDescent="0.35">
      <c r="A53" s="3" t="s">
        <v>7</v>
      </c>
      <c r="B53" s="4">
        <v>2018</v>
      </c>
      <c r="C53" s="11">
        <v>575.09100000000001</v>
      </c>
      <c r="D53" s="11">
        <v>1.488</v>
      </c>
      <c r="E53" s="11">
        <v>15.42</v>
      </c>
      <c r="F53" s="15">
        <v>1.5660000000000001</v>
      </c>
    </row>
    <row r="54" spans="1:6" x14ac:dyDescent="0.35">
      <c r="A54" s="1" t="s">
        <v>8</v>
      </c>
      <c r="B54" s="2">
        <v>2018</v>
      </c>
      <c r="C54" s="10">
        <v>10346.790000000001</v>
      </c>
      <c r="D54" s="10">
        <v>3.468</v>
      </c>
      <c r="E54" s="10">
        <v>7.2919999999999998</v>
      </c>
      <c r="F54" s="14">
        <v>28.167000000000002</v>
      </c>
    </row>
    <row r="55" spans="1:6" x14ac:dyDescent="0.35">
      <c r="A55" s="3" t="s">
        <v>9</v>
      </c>
      <c r="B55" s="4">
        <v>2018</v>
      </c>
      <c r="C55" s="11">
        <v>758.77099999999996</v>
      </c>
      <c r="D55" s="11">
        <v>-3.2909999999999999</v>
      </c>
      <c r="E55" s="11">
        <v>9.1010000000000009</v>
      </c>
      <c r="F55" s="15">
        <v>2.0659999999999998</v>
      </c>
    </row>
    <row r="56" spans="1:6" x14ac:dyDescent="0.35">
      <c r="A56" s="1" t="s">
        <v>10</v>
      </c>
      <c r="B56" s="2">
        <v>2018</v>
      </c>
      <c r="C56" s="10">
        <v>2595.2269999999999</v>
      </c>
      <c r="D56" s="10">
        <v>6.9880000000000004</v>
      </c>
      <c r="E56" s="10">
        <v>1.8879999999999999</v>
      </c>
      <c r="F56" s="14">
        <v>7.0650000000000004</v>
      </c>
    </row>
    <row r="57" spans="1:6" x14ac:dyDescent="0.35">
      <c r="A57" s="3" t="s">
        <v>11</v>
      </c>
      <c r="B57" s="4">
        <v>2018</v>
      </c>
      <c r="C57" s="11">
        <v>607.37800000000004</v>
      </c>
      <c r="D57" s="11">
        <v>6.3840000000000003</v>
      </c>
      <c r="E57" s="11">
        <v>2.25</v>
      </c>
      <c r="F57" s="15">
        <v>1.653</v>
      </c>
    </row>
    <row r="58" spans="1:6" x14ac:dyDescent="0.35">
      <c r="A58" s="1" t="s">
        <v>12</v>
      </c>
      <c r="B58" s="2">
        <v>2018</v>
      </c>
      <c r="C58" s="10">
        <v>1138.55</v>
      </c>
      <c r="D58" s="10">
        <v>-3.871</v>
      </c>
      <c r="E58" s="10">
        <v>8.9710000000000001</v>
      </c>
      <c r="F58" s="14">
        <v>3.0990000000000002</v>
      </c>
    </row>
    <row r="59" spans="1:6" x14ac:dyDescent="0.35">
      <c r="A59" s="3" t="s">
        <v>13</v>
      </c>
      <c r="B59" s="4">
        <v>2018</v>
      </c>
      <c r="C59" s="11">
        <v>1709.91</v>
      </c>
      <c r="D59" s="11">
        <v>2.944</v>
      </c>
      <c r="E59" s="11">
        <v>11.677</v>
      </c>
      <c r="F59" s="15">
        <v>4.6550000000000002</v>
      </c>
    </row>
    <row r="60" spans="1:6" x14ac:dyDescent="0.35">
      <c r="A60" s="1" t="s">
        <v>14</v>
      </c>
      <c r="B60" s="2">
        <v>2018</v>
      </c>
      <c r="C60" s="10">
        <v>379.73</v>
      </c>
      <c r="D60" s="10">
        <v>-1.972</v>
      </c>
      <c r="E60" s="10">
        <v>5.6890000000000001</v>
      </c>
      <c r="F60" s="14">
        <v>1.034</v>
      </c>
    </row>
    <row r="61" spans="1:6" x14ac:dyDescent="0.35">
      <c r="A61" s="3" t="s">
        <v>15</v>
      </c>
      <c r="B61" s="4">
        <v>2018</v>
      </c>
      <c r="C61" s="11">
        <v>5361.2359999999999</v>
      </c>
      <c r="D61" s="11">
        <v>3.1920000000000002</v>
      </c>
      <c r="E61" s="11">
        <v>16.001000000000001</v>
      </c>
      <c r="F61" s="15">
        <v>14.595000000000001</v>
      </c>
    </row>
    <row r="62" spans="1:6" x14ac:dyDescent="0.35">
      <c r="A62" s="1" t="s">
        <v>6</v>
      </c>
      <c r="B62" s="2">
        <v>2017</v>
      </c>
      <c r="C62" s="10">
        <v>497.255</v>
      </c>
      <c r="D62" s="10">
        <v>1.1200000000000001</v>
      </c>
      <c r="E62" s="10">
        <v>2.4289999999999998</v>
      </c>
      <c r="F62" s="14">
        <v>1.3819999999999999</v>
      </c>
    </row>
    <row r="63" spans="1:6" x14ac:dyDescent="0.35">
      <c r="A63" s="3" t="s">
        <v>7</v>
      </c>
      <c r="B63" s="4">
        <v>2017</v>
      </c>
      <c r="C63" s="11">
        <v>566.66</v>
      </c>
      <c r="D63" s="11">
        <v>2.339</v>
      </c>
      <c r="E63" s="11">
        <v>15.395</v>
      </c>
      <c r="F63" s="15">
        <v>1.575</v>
      </c>
    </row>
    <row r="64" spans="1:6" x14ac:dyDescent="0.35">
      <c r="A64" s="1" t="s">
        <v>8</v>
      </c>
      <c r="B64" s="2">
        <v>2017</v>
      </c>
      <c r="C64" s="10">
        <v>10000.013999999999</v>
      </c>
      <c r="D64" s="10">
        <v>2.5830000000000002</v>
      </c>
      <c r="E64" s="10">
        <v>7.08</v>
      </c>
      <c r="F64" s="14">
        <v>27.797000000000001</v>
      </c>
    </row>
    <row r="65" spans="1:6" x14ac:dyDescent="0.35">
      <c r="A65" s="3" t="s">
        <v>9</v>
      </c>
      <c r="B65" s="4">
        <v>2017</v>
      </c>
      <c r="C65" s="11">
        <v>784.59500000000003</v>
      </c>
      <c r="D65" s="11">
        <v>-1.6779999999999999</v>
      </c>
      <c r="E65" s="11">
        <v>9.4410000000000007</v>
      </c>
      <c r="F65" s="15">
        <v>2.181</v>
      </c>
    </row>
    <row r="66" spans="1:6" x14ac:dyDescent="0.35">
      <c r="A66" s="1" t="s">
        <v>10</v>
      </c>
      <c r="B66" s="2">
        <v>2017</v>
      </c>
      <c r="C66" s="10">
        <v>2425.7220000000002</v>
      </c>
      <c r="D66" s="10">
        <v>3.1110000000000002</v>
      </c>
      <c r="E66" s="10">
        <v>1.784</v>
      </c>
      <c r="F66" s="14">
        <v>6.7430000000000003</v>
      </c>
    </row>
    <row r="67" spans="1:6" x14ac:dyDescent="0.35">
      <c r="A67" s="3" t="s">
        <v>11</v>
      </c>
      <c r="B67" s="4">
        <v>2017</v>
      </c>
      <c r="C67" s="11">
        <v>570.928</v>
      </c>
      <c r="D67" s="11">
        <v>4.1900000000000004</v>
      </c>
      <c r="E67" s="11">
        <v>2.1360000000000001</v>
      </c>
      <c r="F67" s="15">
        <v>1.587</v>
      </c>
    </row>
    <row r="68" spans="1:6" x14ac:dyDescent="0.35">
      <c r="A68" s="1" t="s">
        <v>12</v>
      </c>
      <c r="B68" s="2">
        <v>2017</v>
      </c>
      <c r="C68" s="10">
        <v>1184.3920000000001</v>
      </c>
      <c r="D68" s="10">
        <v>-1.2949999999999999</v>
      </c>
      <c r="E68" s="10">
        <v>9.3209999999999997</v>
      </c>
      <c r="F68" s="14">
        <v>3.2919999999999998</v>
      </c>
    </row>
    <row r="69" spans="1:6" x14ac:dyDescent="0.35">
      <c r="A69" s="3" t="s">
        <v>13</v>
      </c>
      <c r="B69" s="4">
        <v>2017</v>
      </c>
      <c r="C69" s="11">
        <v>1661.0119999999999</v>
      </c>
      <c r="D69" s="11">
        <v>1.9450000000000001</v>
      </c>
      <c r="E69" s="11">
        <v>11.362</v>
      </c>
      <c r="F69" s="15">
        <v>4.617</v>
      </c>
    </row>
    <row r="70" spans="1:6" x14ac:dyDescent="0.35">
      <c r="A70" s="1" t="s">
        <v>14</v>
      </c>
      <c r="B70" s="2">
        <v>2017</v>
      </c>
      <c r="C70" s="10">
        <v>387.36700000000002</v>
      </c>
      <c r="D70" s="10">
        <v>-3.02</v>
      </c>
      <c r="E70" s="10">
        <v>5.8380000000000001</v>
      </c>
      <c r="F70" s="14">
        <v>1.077</v>
      </c>
    </row>
    <row r="71" spans="1:6" x14ac:dyDescent="0.35">
      <c r="A71" s="3" t="s">
        <v>15</v>
      </c>
      <c r="B71" s="4">
        <v>2017</v>
      </c>
      <c r="C71" s="11">
        <v>5195.4170000000004</v>
      </c>
      <c r="D71" s="11">
        <v>-0.95199999999999996</v>
      </c>
      <c r="E71" s="11">
        <v>15.638999999999999</v>
      </c>
      <c r="F71" s="15">
        <v>14.442</v>
      </c>
    </row>
    <row r="72" spans="1:6" x14ac:dyDescent="0.35">
      <c r="A72" s="1" t="s">
        <v>6</v>
      </c>
      <c r="B72" s="2">
        <v>2016</v>
      </c>
      <c r="C72" s="10">
        <v>491.745</v>
      </c>
      <c r="D72" s="10">
        <v>-6.8970000000000002</v>
      </c>
      <c r="E72" s="10">
        <v>2.42</v>
      </c>
      <c r="F72" s="14">
        <v>1.389</v>
      </c>
    </row>
    <row r="73" spans="1:6" x14ac:dyDescent="0.35">
      <c r="A73" s="3" t="s">
        <v>7</v>
      </c>
      <c r="B73" s="4">
        <v>2016</v>
      </c>
      <c r="C73" s="11">
        <v>553.70699999999999</v>
      </c>
      <c r="D73" s="11">
        <v>-1.651</v>
      </c>
      <c r="E73" s="11">
        <v>15.231</v>
      </c>
      <c r="F73" s="15">
        <v>1.5640000000000001</v>
      </c>
    </row>
    <row r="74" spans="1:6" x14ac:dyDescent="0.35">
      <c r="A74" s="1" t="s">
        <v>8</v>
      </c>
      <c r="B74" s="2">
        <v>2016</v>
      </c>
      <c r="C74" s="10">
        <v>9748.1749999999993</v>
      </c>
      <c r="D74" s="10">
        <v>-1.1140000000000001</v>
      </c>
      <c r="E74" s="10">
        <v>6.9429999999999996</v>
      </c>
      <c r="F74" s="14">
        <v>27.542999999999999</v>
      </c>
    </row>
    <row r="75" spans="1:6" x14ac:dyDescent="0.35">
      <c r="A75" s="3" t="s">
        <v>9</v>
      </c>
      <c r="B75" s="4">
        <v>2016</v>
      </c>
      <c r="C75" s="11">
        <v>797.98800000000006</v>
      </c>
      <c r="D75" s="11">
        <v>-0.35399999999999998</v>
      </c>
      <c r="E75" s="11">
        <v>9.6419999999999995</v>
      </c>
      <c r="F75" s="15">
        <v>2.2549999999999999</v>
      </c>
    </row>
    <row r="76" spans="1:6" x14ac:dyDescent="0.35">
      <c r="A76" s="1" t="s">
        <v>10</v>
      </c>
      <c r="B76" s="2">
        <v>2016</v>
      </c>
      <c r="C76" s="10">
        <v>2352.54</v>
      </c>
      <c r="D76" s="10">
        <v>5.4089999999999998</v>
      </c>
      <c r="E76" s="10">
        <v>1.75</v>
      </c>
      <c r="F76" s="14">
        <v>6.6470000000000002</v>
      </c>
    </row>
    <row r="77" spans="1:6" x14ac:dyDescent="0.35">
      <c r="A77" s="3" t="s">
        <v>11</v>
      </c>
      <c r="B77" s="4">
        <v>2016</v>
      </c>
      <c r="C77" s="11">
        <v>547.96900000000005</v>
      </c>
      <c r="D77" s="11">
        <v>-0.57899999999999996</v>
      </c>
      <c r="E77" s="11">
        <v>2.0710000000000002</v>
      </c>
      <c r="F77" s="15">
        <v>1.548</v>
      </c>
    </row>
    <row r="78" spans="1:6" x14ac:dyDescent="0.35">
      <c r="A78" s="1" t="s">
        <v>12</v>
      </c>
      <c r="B78" s="2">
        <v>2016</v>
      </c>
      <c r="C78" s="10">
        <v>1199.933</v>
      </c>
      <c r="D78" s="10">
        <v>-1.643</v>
      </c>
      <c r="E78" s="10">
        <v>9.4359999999999999</v>
      </c>
      <c r="F78" s="14">
        <v>3.39</v>
      </c>
    </row>
    <row r="79" spans="1:6" x14ac:dyDescent="0.35">
      <c r="A79" s="3" t="s">
        <v>13</v>
      </c>
      <c r="B79" s="4">
        <v>2016</v>
      </c>
      <c r="C79" s="11">
        <v>1629.328</v>
      </c>
      <c r="D79" s="11">
        <v>-0.36199999999999999</v>
      </c>
      <c r="E79" s="11">
        <v>11.177</v>
      </c>
      <c r="F79" s="15">
        <v>4.6040000000000001</v>
      </c>
    </row>
    <row r="80" spans="1:6" x14ac:dyDescent="0.35">
      <c r="A80" s="1" t="s">
        <v>14</v>
      </c>
      <c r="B80" s="2">
        <v>2016</v>
      </c>
      <c r="C80" s="10">
        <v>399.43</v>
      </c>
      <c r="D80" s="10">
        <v>-5.452</v>
      </c>
      <c r="E80" s="10">
        <v>6.0620000000000003</v>
      </c>
      <c r="F80" s="14">
        <v>1.129</v>
      </c>
    </row>
    <row r="81" spans="1:6" x14ac:dyDescent="0.35">
      <c r="A81" s="3" t="s">
        <v>15</v>
      </c>
      <c r="B81" s="4">
        <v>2016</v>
      </c>
      <c r="C81" s="11">
        <v>5245.3620000000001</v>
      </c>
      <c r="D81" s="11">
        <v>-2.294</v>
      </c>
      <c r="E81" s="11">
        <v>15.935</v>
      </c>
      <c r="F81" s="15">
        <v>14.82</v>
      </c>
    </row>
    <row r="82" spans="1:6" x14ac:dyDescent="0.35">
      <c r="A82" s="1" t="s">
        <v>6</v>
      </c>
      <c r="B82" s="2">
        <v>2015</v>
      </c>
      <c r="C82" s="10">
        <v>528.17399999999998</v>
      </c>
      <c r="D82" s="10">
        <v>-5.0940000000000003</v>
      </c>
      <c r="E82" s="10">
        <v>2.6190000000000002</v>
      </c>
      <c r="F82" s="14">
        <v>1.492</v>
      </c>
    </row>
    <row r="83" spans="1:6" x14ac:dyDescent="0.35">
      <c r="A83" s="3" t="s">
        <v>7</v>
      </c>
      <c r="B83" s="4">
        <v>2015</v>
      </c>
      <c r="C83" s="11">
        <v>563.00300000000004</v>
      </c>
      <c r="D83" s="11">
        <v>-0.34300000000000003</v>
      </c>
      <c r="E83" s="11">
        <v>15.654999999999999</v>
      </c>
      <c r="F83" s="15">
        <v>1.59</v>
      </c>
    </row>
    <row r="84" spans="1:6" x14ac:dyDescent="0.35">
      <c r="A84" s="1" t="s">
        <v>8</v>
      </c>
      <c r="B84" s="2">
        <v>2015</v>
      </c>
      <c r="C84" s="10">
        <v>9858.0400000000009</v>
      </c>
      <c r="D84" s="10">
        <v>-1.1830000000000001</v>
      </c>
      <c r="E84" s="10">
        <v>7.0609999999999999</v>
      </c>
      <c r="F84" s="14">
        <v>27.844999999999999</v>
      </c>
    </row>
    <row r="85" spans="1:6" x14ac:dyDescent="0.35">
      <c r="A85" s="3" t="s">
        <v>9</v>
      </c>
      <c r="B85" s="4">
        <v>2015</v>
      </c>
      <c r="C85" s="11">
        <v>800.82299999999998</v>
      </c>
      <c r="D85" s="11">
        <v>1.04</v>
      </c>
      <c r="E85" s="11">
        <v>9.7569999999999997</v>
      </c>
      <c r="F85" s="15">
        <v>2.262</v>
      </c>
    </row>
    <row r="86" spans="1:6" x14ac:dyDescent="0.35">
      <c r="A86" s="1" t="s">
        <v>10</v>
      </c>
      <c r="B86" s="2">
        <v>2015</v>
      </c>
      <c r="C86" s="10">
        <v>2231.817</v>
      </c>
      <c r="D86" s="10">
        <v>3.9</v>
      </c>
      <c r="E86" s="10">
        <v>1.681</v>
      </c>
      <c r="F86" s="14">
        <v>6.3040000000000003</v>
      </c>
    </row>
    <row r="87" spans="1:6" x14ac:dyDescent="0.35">
      <c r="A87" s="3" t="s">
        <v>11</v>
      </c>
      <c r="B87" s="4">
        <v>2015</v>
      </c>
      <c r="C87" s="11">
        <v>551.16</v>
      </c>
      <c r="D87" s="11">
        <v>10.667999999999999</v>
      </c>
      <c r="E87" s="11">
        <v>2.105</v>
      </c>
      <c r="F87" s="15">
        <v>1.5569999999999999</v>
      </c>
    </row>
    <row r="88" spans="1:6" x14ac:dyDescent="0.35">
      <c r="A88" s="1" t="s">
        <v>12</v>
      </c>
      <c r="B88" s="2">
        <v>2015</v>
      </c>
      <c r="C88" s="10">
        <v>1219.982</v>
      </c>
      <c r="D88" s="10">
        <v>-3.1970000000000001</v>
      </c>
      <c r="E88" s="10">
        <v>9.5850000000000009</v>
      </c>
      <c r="F88" s="14">
        <v>3.4460000000000002</v>
      </c>
    </row>
    <row r="89" spans="1:6" x14ac:dyDescent="0.35">
      <c r="A89" s="3" t="s">
        <v>13</v>
      </c>
      <c r="B89" s="4">
        <v>2015</v>
      </c>
      <c r="C89" s="11">
        <v>1635.2439999999999</v>
      </c>
      <c r="D89" s="11">
        <v>-0.126</v>
      </c>
      <c r="E89" s="11">
        <v>11.254</v>
      </c>
      <c r="F89" s="15">
        <v>4.6189999999999998</v>
      </c>
    </row>
    <row r="90" spans="1:6" x14ac:dyDescent="0.35">
      <c r="A90" s="1" t="s">
        <v>14</v>
      </c>
      <c r="B90" s="2">
        <v>2015</v>
      </c>
      <c r="C90" s="10">
        <v>422.46100000000001</v>
      </c>
      <c r="D90" s="10">
        <v>-3.7250000000000001</v>
      </c>
      <c r="E90" s="10">
        <v>6.4610000000000003</v>
      </c>
      <c r="F90" s="14">
        <v>1.1930000000000001</v>
      </c>
    </row>
    <row r="91" spans="1:6" x14ac:dyDescent="0.35">
      <c r="A91" s="3" t="s">
        <v>15</v>
      </c>
      <c r="B91" s="4">
        <v>2015</v>
      </c>
      <c r="C91" s="11">
        <v>5368.4970000000003</v>
      </c>
      <c r="D91" s="11">
        <v>-2.9449999999999998</v>
      </c>
      <c r="E91" s="11">
        <v>16.460999999999999</v>
      </c>
      <c r="F91" s="15">
        <v>15.164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80385A-37EE-40A0-BBDA-B14FF19705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Total_CO2_Pivot</vt:lpstr>
      <vt:lpstr>Dashboard</vt:lpstr>
      <vt:lpstr>Per_Capita_Pivot</vt:lpstr>
      <vt:lpstr>Global_Share_Pivot</vt:lpstr>
      <vt:lpstr>Growth_%_Pivot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Abishek A</dc:creator>
  <cp:lastModifiedBy>Abishek A</cp:lastModifiedBy>
  <cp:lastPrinted>2025-12-10T08:00:24Z</cp:lastPrinted>
  <dcterms:created xsi:type="dcterms:W3CDTF">2025-12-10T05:11:44Z</dcterms:created>
  <dcterms:modified xsi:type="dcterms:W3CDTF">2025-12-10T08:02:04Z</dcterms:modified>
</cp:coreProperties>
</file>